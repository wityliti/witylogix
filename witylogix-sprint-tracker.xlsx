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charset val="1"/>
      <family val="2"/>
      <color theme="1"/>
      <sz val="11"/>
    </font>
    <font>
      <name val="Arial"/>
      <charset val="1"/>
      <b val="1"/>
      <color rgb="FFF5A623"/>
      <sz val="16"/>
    </font>
    <font>
      <name val="Arial"/>
      <charset val="1"/>
      <color rgb="FFA0A0A0"/>
      <sz val="11"/>
    </font>
    <font>
      <name val="Arial"/>
      <charset val="1"/>
      <b val="1"/>
      <color rgb="FFF5A623"/>
      <sz val="11"/>
    </font>
    <font>
      <name val="Arial"/>
      <charset val="1"/>
      <b val="1"/>
      <color rgb="FFFFFFFF"/>
      <sz val="10"/>
    </font>
    <font>
      <name val="Arial"/>
      <charset val="1"/>
      <color rgb="FFE0E0E0"/>
      <sz val="10"/>
    </font>
    <font>
      <name val="Arial"/>
      <charset val="1"/>
      <b val="1"/>
      <color rgb="FF60A5FA"/>
      <sz val="11"/>
    </font>
    <font>
      <name val="Arial"/>
      <charset val="1"/>
      <b val="1"/>
      <color rgb="FF818CF8"/>
      <sz val="11"/>
    </font>
    <font>
      <name val="Arial"/>
      <charset val="1"/>
      <b val="1"/>
      <color rgb="FF4ADE80"/>
      <sz val="11"/>
    </font>
    <font>
      <name val="Arial"/>
      <charset val="1"/>
      <b val="1"/>
      <color rgb="FF34D399"/>
      <sz val="11"/>
    </font>
    <font>
      <name val="Arial"/>
      <charset val="1"/>
      <b val="1"/>
      <color rgb="FFF472B6"/>
      <sz val="11"/>
    </font>
    <font>
      <name val="Arial"/>
      <charset val="1"/>
      <b val="1"/>
      <color rgb="FFFB923C"/>
      <sz val="11"/>
    </font>
    <font>
      <name val="Arial"/>
      <charset val="1"/>
      <b val="1"/>
      <color rgb="FFA78BFA"/>
      <sz val="11"/>
    </font>
    <font>
      <name val="Arial"/>
      <charset val="1"/>
      <b val="1"/>
      <color rgb="FFFACC15"/>
      <sz val="11"/>
    </font>
    <font>
      <name val="Arial"/>
      <charset val="1"/>
      <b val="1"/>
      <color rgb="FFF5A623"/>
      <sz val="14"/>
    </font>
    <font>
      <name val="Arial"/>
      <charset val="1"/>
      <b val="1"/>
      <color rgb="FFF5A623"/>
      <sz val="18"/>
    </font>
    <font>
      <name val="Arial"/>
      <charset val="1"/>
      <color rgb="FFFACC15"/>
      <sz val="10"/>
    </font>
    <font>
      <name val="Arial"/>
      <charset val="1"/>
      <color rgb="FFF87171"/>
      <sz val="10"/>
    </font>
    <font>
      <name val="Arial"/>
      <charset val="1"/>
      <color rgb="FF666666"/>
      <sz val="14"/>
    </font>
    <font>
      <name val="Arial"/>
      <charset val="1"/>
      <b val="1"/>
      <color rgb="FF60A5FA"/>
      <sz val="10"/>
    </font>
    <font>
      <name val="Arial"/>
      <charset val="1"/>
      <color rgb="FF888888"/>
      <sz val="10"/>
    </font>
    <font>
      <name val="Arial"/>
      <charset val="1"/>
      <b val="1"/>
      <color rgb="FFF5A623"/>
      <sz val="10"/>
    </font>
    <font>
      <name val="Arial"/>
      <charset val="1"/>
      <color rgb="FF60A5FA"/>
      <sz val="10"/>
    </font>
    <font>
      <name val="Arial"/>
      <charset val="1"/>
      <b val="1"/>
      <color rgb="FFF472B6"/>
      <sz val="10"/>
    </font>
    <font>
      <name val="Arial"/>
      <charset val="1"/>
      <color rgb="FF4ADE80"/>
      <sz val="10"/>
    </font>
    <font>
      <name val="Arial"/>
      <charset val="1"/>
      <color rgb="FF4ADE80"/>
      <sz val="14"/>
    </font>
    <font>
      <name val="Arial"/>
      <charset val="1"/>
      <color rgb="FF666666"/>
      <sz val="10"/>
    </font>
    <font>
      <name val="Arial"/>
      <charset val="1"/>
      <b val="1"/>
      <color rgb="FF818CF8"/>
      <sz val="10"/>
    </font>
    <font>
      <name val="Cambria"/>
      <charset val="1"/>
      <color rgb="FF006100"/>
      <sz val="11"/>
    </font>
    <font>
      <name val="Arial"/>
      <charset val="1"/>
      <b val="1"/>
      <color rgb="FFFB923C"/>
      <sz val="10"/>
    </font>
    <font>
      <name val="Arial"/>
      <charset val="1"/>
      <b val="1"/>
      <color rgb="FF4ADE80"/>
      <sz val="10"/>
    </font>
    <font>
      <name val="Arial"/>
      <charset val="1"/>
      <b val="1"/>
      <color rgb="FF34D399"/>
      <sz val="10"/>
    </font>
    <font>
      <name val="Arial"/>
      <charset val="1"/>
      <b val="1"/>
      <color rgb="FFA78BFA"/>
      <sz val="10"/>
    </font>
    <font>
      <name val="Arial"/>
      <charset val="1"/>
      <color rgb="FFA78BFA"/>
      <sz val="10"/>
    </font>
    <font>
      <name val="Arial"/>
      <charset val="1"/>
      <color rgb="FFFB923C"/>
      <sz val="10"/>
    </font>
    <font>
      <name val="Cambria"/>
      <charset val="1"/>
      <b val="1"/>
      <sz val="11"/>
    </font>
    <font>
      <name val="Cambria"/>
      <charset val="1"/>
      <b val="1"/>
      <sz val="10"/>
    </font>
    <font>
      <name val="Cambria"/>
      <charset val="1"/>
      <b val="1"/>
      <sz val="12"/>
    </font>
    <font>
      <name val="Cambria"/>
      <charset val="1"/>
      <b val="1"/>
      <sz val="9"/>
    </font>
    <font>
      <name val="Calibri"/>
      <b val="1"/>
      <color rgb="FFFFFFFF"/>
      <sz val="11"/>
    </font>
    <font>
      <name val="Calibri"/>
      <b val="1"/>
      <color rgb="FF4472C4"/>
      <sz val="12"/>
    </font>
    <font>
      <name val="Calibri"/>
      <b val="1"/>
      <sz val="10"/>
    </font>
    <font>
      <name val="Calibri"/>
      <color rgb="FF228B22"/>
      <sz val="11"/>
    </font>
    <font>
      <name val="Calibri"/>
      <b val="1"/>
      <color rgb="FFE67E22"/>
      <sz val="11"/>
    </font>
    <font>
      <b val="1"/>
      <sz val="14"/>
    </font>
    <font>
      <i val="1"/>
      <color rgb="00666666"/>
      <sz val="11"/>
    </font>
    <font>
      <b val="1"/>
      <color rgb="00333399"/>
      <sz val="12"/>
    </font>
    <font>
      <b val="1"/>
      <sz val="11"/>
    </font>
    <font>
      <color rgb="00006100"/>
    </font>
    <font>
      <name val="Arial"/>
      <b val="1"/>
      <sz val="11"/>
    </font>
    <font>
      <name val="Arial"/>
      <color rgb="00CCCCCC"/>
      <sz val="10"/>
    </font>
    <font>
      <name val="Arial"/>
      <b val="1"/>
      <sz val="12"/>
    </font>
    <font>
      <b val="1"/>
    </font>
    <font>
      <b val="1"/>
      <sz val="12"/>
    </font>
    <font>
      <b val="1"/>
      <color rgb="00FFFFFF"/>
      <sz val="12"/>
    </font>
  </fonts>
  <fills count="26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00D5C8F0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CEAFB"/>
      </patternFill>
    </fill>
    <fill>
      <patternFill patternType="solid">
        <fgColor rgb="00FCE4EC"/>
      </patternFill>
    </fill>
    <fill>
      <patternFill patternType="solid">
        <fgColor rgb="001E1E2E"/>
      </patternFill>
    </fill>
    <fill>
      <patternFill patternType="solid">
        <fgColor rgb="002B2B3D"/>
      </patternFill>
    </fill>
    <fill>
      <patternFill patternType="solid">
        <fgColor rgb="004472C4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/>
      <right style="thin"/>
      <top style="thin"/>
      <bottom style="thin"/>
    </border>
    <border>
      <left style="thin">
        <color rgb="003D3D5C"/>
      </left>
      <right style="thin">
        <color rgb="003D3D5C"/>
      </right>
      <top style="thin">
        <color rgb="003D3D5C"/>
      </top>
      <bottom style="thin">
        <color rgb="003D3D5C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 wrapText="1"/>
    </xf>
    <xf numFmtId="0" fontId="17" fillId="6" borderId="1" applyAlignment="1" pivotButton="0" quotePrefix="0" xfId="0">
      <alignment vertical="center" wrapText="1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8" fillId="8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vertical="center" wrapText="1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8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 wrapText="1"/>
    </xf>
    <xf numFmtId="0" fontId="27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 wrapText="1"/>
    </xf>
    <xf numFmtId="0" fontId="23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vertical="center" wrapText="1"/>
    </xf>
    <xf numFmtId="0" fontId="29" fillId="4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0" fillId="6" borderId="0" pivotButton="0" quotePrefix="0" xfId="0"/>
    <xf numFmtId="0" fontId="32" fillId="4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32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vertical="center" wrapText="1"/>
    </xf>
    <xf numFmtId="0" fontId="33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vertical="center" wrapText="1"/>
    </xf>
    <xf numFmtId="0" fontId="18" fillId="11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3" fillId="5" borderId="1" applyAlignment="1" pivotButton="0" quotePrefix="0" xfId="0">
      <alignment vertical="center" wrapText="1"/>
    </xf>
    <xf numFmtId="0" fontId="33" fillId="4" borderId="1" applyAlignment="1" pivotButton="0" quotePrefix="0" xfId="0">
      <alignment vertical="center" wrapText="1"/>
    </xf>
    <xf numFmtId="0" fontId="24" fillId="6" borderId="1" applyAlignment="1" pivotButton="0" quotePrefix="0" xfId="0">
      <alignment vertical="center" wrapText="1"/>
    </xf>
    <xf numFmtId="0" fontId="24" fillId="4" borderId="1" applyAlignment="1" pivotButton="0" quotePrefix="0" xfId="0">
      <alignment vertical="center" wrapText="1"/>
    </xf>
    <xf numFmtId="0" fontId="34" fillId="5" borderId="1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5" fillId="0" borderId="0" pivotButton="0" quotePrefix="0" xfId="0"/>
    <xf numFmtId="0" fontId="36" fillId="12" borderId="0" applyAlignment="1" pivotButton="0" quotePrefix="0" xfId="0">
      <alignment horizontal="center"/>
    </xf>
    <xf numFmtId="0" fontId="37" fillId="4" borderId="1" applyAlignment="1" pivotButton="0" quotePrefix="0" xfId="0">
      <alignment vertical="center" wrapText="1"/>
    </xf>
    <xf numFmtId="0" fontId="28" fillId="6" borderId="1" applyAlignment="1" pivotButton="0" quotePrefix="0" xfId="0">
      <alignment vertical="center" wrapText="1"/>
    </xf>
    <xf numFmtId="0" fontId="28" fillId="6" borderId="0" pivotButton="0" quotePrefix="0" xfId="0"/>
    <xf numFmtId="0" fontId="28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37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8" fillId="13" borderId="1" applyAlignment="1" pivotButton="0" quotePrefix="0" xfId="0">
      <alignment horizontal="center" vertical="center"/>
    </xf>
    <xf numFmtId="9" fontId="35" fillId="0" borderId="0" pivotButton="0" quotePrefix="0" xfId="0"/>
    <xf numFmtId="9" fontId="0" fillId="0" borderId="0" pivotButton="0" quotePrefix="0" xfId="0"/>
    <xf numFmtId="0" fontId="38" fillId="13" borderId="0" pivotButton="0" quotePrefix="0" xfId="0"/>
    <xf numFmtId="0" fontId="39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0" borderId="0" pivotButton="0" quotePrefix="0" xfId="0"/>
    <xf numFmtId="0" fontId="41" fillId="15" borderId="0" pivotButton="0" quotePrefix="0" xfId="0"/>
    <xf numFmtId="0" fontId="42" fillId="0" borderId="0" pivotButton="0" quotePrefix="0" xfId="0"/>
    <xf numFmtId="164" fontId="0" fillId="0" borderId="0" pivotButton="0" quotePrefix="0" xfId="0"/>
    <xf numFmtId="0" fontId="43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7" fillId="16" borderId="2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47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47" fillId="17" borderId="2" pivotButton="0" quotePrefix="0" xfId="0"/>
    <xf numFmtId="0" fontId="48" fillId="20" borderId="2" pivotButton="0" quotePrefix="0" xfId="0"/>
    <xf numFmtId="0" fontId="49" fillId="23" borderId="3" applyAlignment="1" pivotButton="0" quotePrefix="0" xfId="0">
      <alignment horizontal="center"/>
    </xf>
    <xf numFmtId="3" fontId="50" fillId="0" borderId="3" applyAlignment="1" pivotButton="0" quotePrefix="0" xfId="0">
      <alignment horizontal="center"/>
    </xf>
    <xf numFmtId="0" fontId="51" fillId="24" borderId="3" pivotButton="0" quotePrefix="0" xfId="0"/>
    <xf numFmtId="0" fontId="0" fillId="24" borderId="3" pivotButton="0" quotePrefix="0" xfId="0"/>
    <xf numFmtId="0" fontId="49" fillId="0" borderId="3" pivotButton="0" quotePrefix="0" xfId="0"/>
    <xf numFmtId="0" fontId="50" fillId="0" borderId="3" pivotButton="0" quotePrefix="0" xfId="0"/>
    <xf numFmtId="0" fontId="50" fillId="0" borderId="3" applyAlignment="1" pivotButton="0" quotePrefix="0" xfId="0">
      <alignment horizontal="center"/>
    </xf>
    <xf numFmtId="0" fontId="49" fillId="23" borderId="3" pivotButton="0" quotePrefix="0" xfId="0"/>
    <xf numFmtId="0" fontId="5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4" fillId="25" borderId="0" pivotButton="0" quotePrefix="0" xfId="0"/>
    <xf numFmtId="0" fontId="48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A623"/>
    <outlinePr summaryBelow="1" summaryRight="1"/>
    <pageSetUpPr/>
  </sheetPr>
  <dimension ref="A1:L23"/>
  <sheetViews>
    <sheetView zoomScaleNormal="100" workbookViewId="0">
      <pane ySplit="4" topLeftCell="A5" activePane="bottomLeft" state="frozen"/>
      <selection activeCell="A1" sqref="A1:H1"/>
      <selection pane="bottomLeft" activeCell="A1" sqref="A1:H1"/>
    </sheetView>
  </sheetViews>
  <sheetFormatPr baseColWidth="10" defaultColWidth="8.6640625" defaultRowHeight="15" customHeight="1"/>
  <cols>
    <col width="8" customWidth="1" style="110" min="1" max="1"/>
    <col width="18" customWidth="1" style="110" min="2" max="2"/>
    <col width="22" customWidth="1" style="110" min="3" max="3"/>
    <col width="16" customWidth="1" style="110" min="4" max="4"/>
    <col width="50" customWidth="1" style="110" min="5" max="6"/>
    <col width="10" customWidth="1" style="110" min="7" max="11"/>
    <col width="12" customWidth="1" style="110" min="12" max="12"/>
  </cols>
  <sheetData>
    <row r="1" ht="19.5" customHeight="1" s="110">
      <c r="A1" s="111" t="inlineStr">
        <is>
          <t>WITYLOGIX — STARTUP ENGINEERING TEAM</t>
        </is>
      </c>
    </row>
    <row r="2" ht="15" customHeight="1" s="110">
      <c r="A2" s="109" t="inlineStr">
        <is>
          <t>9-person team organized into 5 squads — working in parallel across 6 phases</t>
        </is>
      </c>
    </row>
    <row r="4" ht="26.25" customHeight="1" s="110">
      <c r="A4" s="1" t="inlineStr">
        <is>
          <t>ID</t>
        </is>
      </c>
      <c r="B4" s="1" t="inlineStr">
        <is>
          <t>Name</t>
        </is>
      </c>
      <c r="C4" s="1" t="inlineStr">
        <is>
          <t>Role</t>
        </is>
      </c>
      <c r="D4" s="1" t="inlineStr">
        <is>
          <t>Squad</t>
        </is>
      </c>
      <c r="E4" s="1" t="inlineStr">
        <is>
          <t>Focus Areas</t>
        </is>
      </c>
      <c r="F4" s="1" t="inlineStr">
        <is>
          <t>Parallel Tracks</t>
        </is>
      </c>
      <c r="G4" s="1" t="inlineStr">
        <is>
          <t>Models</t>
        </is>
      </c>
      <c r="H4" s="1" t="inlineStr">
        <is>
          <t>Pages</t>
        </is>
      </c>
      <c r="I4" s="1" t="inlineStr">
        <is>
          <t>Services</t>
        </is>
      </c>
      <c r="J4" s="1" t="inlineStr">
        <is>
          <t>Infra</t>
        </is>
      </c>
      <c r="K4" s="1" t="inlineStr">
        <is>
          <t>Roadmap</t>
        </is>
      </c>
      <c r="L4" s="1" t="inlineStr">
        <is>
          <t>Total Items</t>
        </is>
      </c>
    </row>
    <row r="5" ht="23.25" customHeight="1" s="110">
      <c r="A5" s="2" t="inlineStr">
        <is>
          <t>AR</t>
        </is>
      </c>
      <c r="B5" s="3" t="inlineStr">
        <is>
          <t>Arjun Rajput</t>
        </is>
      </c>
      <c r="C5" s="4" t="inlineStr">
        <is>
          <t>CTO / Tech Lead</t>
        </is>
      </c>
      <c r="D5" s="4" t="inlineStr">
        <is>
          <t>Architecture</t>
        </is>
      </c>
      <c r="E5" s="4" t="inlineStr">
        <is>
          <t>System design, API architecture, DB schema, auth, infra decisions</t>
        </is>
      </c>
      <c r="F5" s="4" t="inlineStr">
        <is>
          <t>Auth system, RBAC, schema design, code reviews</t>
        </is>
      </c>
      <c r="G5" s="5">
        <f>COUNTIF('Data Models Gap'!I:I,"*AR*")</f>
        <v/>
      </c>
      <c r="H5" s="5">
        <f>COUNTIF('Feature Gap - Pages'!H:H,"*AR*")</f>
        <v/>
      </c>
      <c r="I5" s="5">
        <f>COUNTIF('Service &amp; API Gap'!H:H,"*AR*")</f>
        <v/>
      </c>
      <c r="J5" s="5">
        <f>COUNTIF('Infrastructure Gap'!H:H,"*AR*")</f>
        <v/>
      </c>
      <c r="K5" s="5">
        <f>COUNTIF('Priority Roadmap'!I:I,"*AR*")</f>
        <v/>
      </c>
      <c r="L5" s="2">
        <f>SUM(G5:K5)</f>
        <v/>
      </c>
    </row>
    <row r="6" ht="23.25" customHeight="1" s="110">
      <c r="A6" s="6" t="inlineStr">
        <is>
          <t>PK</t>
        </is>
      </c>
      <c r="B6" s="7" t="inlineStr">
        <is>
          <t>Priya Kapoor</t>
        </is>
      </c>
      <c r="C6" s="8" t="inlineStr">
        <is>
          <t>Sr. Backend Engineer</t>
        </is>
      </c>
      <c r="D6" s="8" t="inlineStr">
        <is>
          <t>Core Backend</t>
        </is>
      </c>
      <c r="E6" s="8" t="inlineStr">
        <is>
          <t>Order/shipment lifecycle, business logic, Shopify sync, webhooks</t>
        </is>
      </c>
      <c r="F6" s="8" t="inlineStr">
        <is>
          <t>Order CRUD, shipment model, webhook processors, Shopify sync engine</t>
        </is>
      </c>
      <c r="G6" s="9">
        <f>COUNTIF('Data Models Gap'!I:I,"*PK*")</f>
        <v/>
      </c>
      <c r="H6" s="9">
        <f>COUNTIF('Feature Gap - Pages'!H:H,"*PK*")</f>
        <v/>
      </c>
      <c r="I6" s="9">
        <f>COUNTIF('Service &amp; API Gap'!H:H,"*PK*")</f>
        <v/>
      </c>
      <c r="J6" s="9">
        <f>COUNTIF('Infrastructure Gap'!H:H,"*PK*")</f>
        <v/>
      </c>
      <c r="K6" s="9">
        <f>COUNTIF('Priority Roadmap'!I:I,"*PK*")</f>
        <v/>
      </c>
      <c r="L6" s="10">
        <f>SUM(G6:K6)</f>
        <v/>
      </c>
    </row>
    <row r="7" ht="23.25" customHeight="1" s="110">
      <c r="A7" s="11" t="inlineStr">
        <is>
          <t>VS</t>
        </is>
      </c>
      <c r="B7" s="3" t="inlineStr">
        <is>
          <t>Vikram Shah</t>
        </is>
      </c>
      <c r="C7" s="4" t="inlineStr">
        <is>
          <t>Backend Engineer</t>
        </is>
      </c>
      <c r="D7" s="4" t="inlineStr">
        <is>
          <t>Core Backend</t>
        </is>
      </c>
      <c r="E7" s="4" t="inlineStr">
        <is>
          <t>Route optimization, geospatial, carrier service, location mgmt</t>
        </is>
      </c>
      <c r="F7" s="4" t="inlineStr">
        <is>
          <t>PostGIS, route optimization, shipping profiles, delivery rules, carrier rates</t>
        </is>
      </c>
      <c r="G7" s="5">
        <f>COUNTIF('Data Models Gap'!I:I,"*VS*")</f>
        <v/>
      </c>
      <c r="H7" s="5">
        <f>COUNTIF('Feature Gap - Pages'!H:H,"*VS*")</f>
        <v/>
      </c>
      <c r="I7" s="5">
        <f>COUNTIF('Service &amp; API Gap'!H:H,"*VS*")</f>
        <v/>
      </c>
      <c r="J7" s="5">
        <f>COUNTIF('Infrastructure Gap'!H:H,"*VS*")</f>
        <v/>
      </c>
      <c r="K7" s="5">
        <f>COUNTIF('Priority Roadmap'!I:I,"*VS*")</f>
        <v/>
      </c>
      <c r="L7" s="2">
        <f>SUM(G7:K7)</f>
        <v/>
      </c>
    </row>
    <row r="8" ht="23.25" customHeight="1" s="110">
      <c r="A8" s="12" t="inlineStr">
        <is>
          <t>NK</t>
        </is>
      </c>
      <c r="B8" s="7" t="inlineStr">
        <is>
          <t>Neha Krishnan</t>
        </is>
      </c>
      <c r="C8" s="8" t="inlineStr">
        <is>
          <t>Sr. Frontend Engineer</t>
        </is>
      </c>
      <c r="D8" s="8" t="inlineStr">
        <is>
          <t>Frontend</t>
        </is>
      </c>
      <c r="E8" s="8" t="inlineStr">
        <is>
          <t>Dashboard UI, design system, pages, components, UX</t>
        </is>
      </c>
      <c r="F8" s="8" t="inlineStr">
        <is>
          <t>Design system, dashboard pages, settings, analytics, onboarding</t>
        </is>
      </c>
      <c r="G8" s="9">
        <f>COUNTIF('Data Models Gap'!I:I,"*NK*")</f>
        <v/>
      </c>
      <c r="H8" s="9">
        <f>COUNTIF('Feature Gap - Pages'!H:H,"*NK*")</f>
        <v/>
      </c>
      <c r="I8" s="9">
        <f>COUNTIF('Service &amp; API Gap'!H:H,"*NK*")</f>
        <v/>
      </c>
      <c r="J8" s="9">
        <f>COUNTIF('Infrastructure Gap'!H:H,"*NK*")</f>
        <v/>
      </c>
      <c r="K8" s="9">
        <f>COUNTIF('Priority Roadmap'!I:I,"*NK*")</f>
        <v/>
      </c>
      <c r="L8" s="10">
        <f>SUM(G8:K8)</f>
        <v/>
      </c>
    </row>
    <row r="9" ht="23.25" customHeight="1" s="110">
      <c r="A9" s="13" t="inlineStr">
        <is>
          <t>DM</t>
        </is>
      </c>
      <c r="B9" s="3" t="inlineStr">
        <is>
          <t>Dev Malhotra</t>
        </is>
      </c>
      <c r="C9" s="4" t="inlineStr">
        <is>
          <t>Frontend Engineer</t>
        </is>
      </c>
      <c r="D9" s="4" t="inlineStr">
        <is>
          <t>Frontend</t>
        </is>
      </c>
      <c r="E9" s="4" t="inlineStr">
        <is>
          <t>Order/shipment/route pages, map integrations, forms</t>
        </is>
      </c>
      <c r="F9" s="4" t="inlineStr">
        <is>
          <t>Order pages, shipment pages, route create/edit, zone map drawing, forms</t>
        </is>
      </c>
      <c r="G9" s="5">
        <f>COUNTIF('Data Models Gap'!I:I,"*DM*")</f>
        <v/>
      </c>
      <c r="H9" s="5">
        <f>COUNTIF('Feature Gap - Pages'!H:H,"*DM*")</f>
        <v/>
      </c>
      <c r="I9" s="5">
        <f>COUNTIF('Service &amp; API Gap'!H:H,"*DM*")</f>
        <v/>
      </c>
      <c r="J9" s="5">
        <f>COUNTIF('Infrastructure Gap'!H:H,"*DM*")</f>
        <v/>
      </c>
      <c r="K9" s="5">
        <f>COUNTIF('Priority Roadmap'!I:I,"*DM*")</f>
        <v/>
      </c>
      <c r="L9" s="2">
        <f>SUM(G9:K9)</f>
        <v/>
      </c>
    </row>
    <row r="10" ht="23.25" customHeight="1" s="110">
      <c r="A10" s="14" t="inlineStr">
        <is>
          <t>SP</t>
        </is>
      </c>
      <c r="B10" s="7" t="inlineStr">
        <is>
          <t>Sanya Patel</t>
        </is>
      </c>
      <c r="C10" s="8" t="inlineStr">
        <is>
          <t>Full-Stack Engineer</t>
        </is>
      </c>
      <c r="D10" s="8" t="inlineStr">
        <is>
          <t>Integrations</t>
        </is>
      </c>
      <c r="E10" s="8" t="inlineStr">
        <is>
          <t>Notification providers, email/SMS/WhatsApp, Firebase push, templates</t>
        </is>
      </c>
      <c r="F10" s="8" t="inlineStr">
        <is>
          <t>SendGrid, Twilio, WhatsApp, FCM, notification templates, campaign system</t>
        </is>
      </c>
      <c r="G10" s="9">
        <f>COUNTIF('Data Models Gap'!I:I,"*SP*")</f>
        <v/>
      </c>
      <c r="H10" s="9">
        <f>COUNTIF('Feature Gap - Pages'!H:H,"*SP*")</f>
        <v/>
      </c>
      <c r="I10" s="9">
        <f>COUNTIF('Service &amp; API Gap'!H:H,"*SP*")</f>
        <v/>
      </c>
      <c r="J10" s="9">
        <f>COUNTIF('Infrastructure Gap'!H:H,"*SP*")</f>
        <v/>
      </c>
      <c r="K10" s="9">
        <f>COUNTIF('Priority Roadmap'!I:I,"*SP*")</f>
        <v/>
      </c>
      <c r="L10" s="10">
        <f>SUM(G10:K10)</f>
        <v/>
      </c>
    </row>
    <row r="11" ht="23.25" customHeight="1" s="110">
      <c r="A11" s="15" t="inlineStr">
        <is>
          <t>RG</t>
        </is>
      </c>
      <c r="B11" s="3" t="inlineStr">
        <is>
          <t>Rohan Gupta</t>
        </is>
      </c>
      <c r="C11" s="4" t="inlineStr">
        <is>
          <t>Full-Stack Engineer</t>
        </is>
      </c>
      <c r="D11" s="4" t="inlineStr">
        <is>
          <t>Integrations</t>
        </is>
      </c>
      <c r="E11" s="4" t="inlineStr">
        <is>
          <t>Payment gateways, billing, analytics, 3rd-party APIs, super admin</t>
        </is>
      </c>
      <c r="F11" s="4" t="inlineStr">
        <is>
          <t>Payment module, billing/plans, analytics engine, cart plugin, POS</t>
        </is>
      </c>
      <c r="G11" s="5">
        <f>COUNTIF('Data Models Gap'!I:I,"*RG*")</f>
        <v/>
      </c>
      <c r="H11" s="5">
        <f>COUNTIF('Feature Gap - Pages'!H:H,"*RG*")</f>
        <v/>
      </c>
      <c r="I11" s="5">
        <f>COUNTIF('Service &amp; API Gap'!H:H,"*RG*")</f>
        <v/>
      </c>
      <c r="J11" s="5">
        <f>COUNTIF('Infrastructure Gap'!H:H,"*RG*")</f>
        <v/>
      </c>
      <c r="K11" s="5">
        <f>COUNTIF('Priority Roadmap'!I:I,"*RG*")</f>
        <v/>
      </c>
      <c r="L11" s="2">
        <f>SUM(G11:K11)</f>
        <v/>
      </c>
    </row>
    <row r="12" ht="23.25" customHeight="1" s="110">
      <c r="A12" s="16" t="inlineStr">
        <is>
          <t>AM</t>
        </is>
      </c>
      <c r="B12" s="7" t="inlineStr">
        <is>
          <t>Aisha Mehra</t>
        </is>
      </c>
      <c r="C12" s="8" t="inlineStr">
        <is>
          <t>DevOps / Infra Engineer</t>
        </is>
      </c>
      <c r="D12" s="8" t="inlineStr">
        <is>
          <t>Platform</t>
        </is>
      </c>
      <c r="E12" s="8" t="inlineStr">
        <is>
          <t>Docker, CI/CD, Redis, BullMQ, PostGIS, monitoring, deployment</t>
        </is>
      </c>
      <c r="F12" s="8" t="inlineStr">
        <is>
          <t>Queue infrastructure, Redis caching, PostGIS setup, Docker, CI/CD, logging</t>
        </is>
      </c>
      <c r="G12" s="9">
        <f>COUNTIF('Data Models Gap'!I:I,"*AM*")</f>
        <v/>
      </c>
      <c r="H12" s="9">
        <f>COUNTIF('Feature Gap - Pages'!H:H,"*AM*")</f>
        <v/>
      </c>
      <c r="I12" s="9">
        <f>COUNTIF('Service &amp; API Gap'!H:H,"*AM*")</f>
        <v/>
      </c>
      <c r="J12" s="9">
        <f>COUNTIF('Infrastructure Gap'!H:H,"*AM*")</f>
        <v/>
      </c>
      <c r="K12" s="9">
        <f>COUNTIF('Priority Roadmap'!I:I,"*AM*")</f>
        <v/>
      </c>
      <c r="L12" s="10">
        <f>SUM(G12:K12)</f>
        <v/>
      </c>
    </row>
    <row r="13" ht="23.25" customHeight="1" s="110">
      <c r="A13" s="17" t="inlineStr">
        <is>
          <t>KS</t>
        </is>
      </c>
      <c r="B13" s="3" t="inlineStr">
        <is>
          <t>Kabir Singh</t>
        </is>
      </c>
      <c r="C13" s="4" t="inlineStr">
        <is>
          <t>QA / Test Engineer</t>
        </is>
      </c>
      <c r="D13" s="4" t="inlineStr">
        <is>
          <t>Quality</t>
        </is>
      </c>
      <c r="E13" s="4" t="inlineStr">
        <is>
          <t>Test strategy, E2E tests, API tests, regression, data migration QA</t>
        </is>
      </c>
      <c r="F13" s="4" t="inlineStr">
        <is>
          <t>Test framework setup, API test suites, E2E scenarios, migration validation</t>
        </is>
      </c>
      <c r="G13" s="5">
        <f>COUNTIF('Data Models Gap'!I:I,"*KS*")</f>
        <v/>
      </c>
      <c r="H13" s="5">
        <f>COUNTIF('Feature Gap - Pages'!H:H,"*KS*")</f>
        <v/>
      </c>
      <c r="I13" s="5">
        <f>COUNTIF('Service &amp; API Gap'!H:H,"*KS*")</f>
        <v/>
      </c>
      <c r="J13" s="5">
        <f>COUNTIF('Infrastructure Gap'!H:H,"*KS*")</f>
        <v/>
      </c>
      <c r="K13" s="5">
        <f>COUNTIF('Priority Roadmap'!I:I,"*KS*")</f>
        <v/>
      </c>
      <c r="L13" s="2">
        <f>SUM(G13:K13)</f>
        <v/>
      </c>
    </row>
    <row r="14" ht="15" customHeight="1" s="110">
      <c r="A14" s="18" t="inlineStr">
        <is>
          <t>TOTAL</t>
        </is>
      </c>
      <c r="B14" s="19" t="n"/>
      <c r="C14" s="19" t="n"/>
      <c r="D14" s="19" t="n"/>
      <c r="E14" s="19" t="n"/>
      <c r="F14" s="19" t="n"/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</row>
    <row r="16" ht="17.25" customHeight="1" s="110">
      <c r="A16" s="21" t="inlineStr">
        <is>
          <t>Squad Structure</t>
        </is>
      </c>
    </row>
    <row r="17" ht="26.25" customHeight="1" s="110">
      <c r="A17" s="1" t="inlineStr">
        <is>
          <t>Squad</t>
        </is>
      </c>
      <c r="B17" s="1" t="inlineStr">
        <is>
          <t>Members</t>
        </is>
      </c>
      <c r="C17" s="1" t="inlineStr">
        <is>
          <t>Primary Responsibility</t>
        </is>
      </c>
      <c r="D17" s="1" t="inlineStr">
        <is>
          <t>Phase Focus</t>
        </is>
      </c>
    </row>
    <row r="18" ht="34.5" customHeight="1" s="110">
      <c r="A18" s="4" t="inlineStr">
        <is>
          <t>Architecture</t>
        </is>
      </c>
      <c r="B18" s="4" t="inlineStr">
        <is>
          <t>AR (Arjun)</t>
        </is>
      </c>
      <c r="C18" s="4" t="inlineStr">
        <is>
          <t>System design, auth, schema, cross-cutting concerns, code reviews</t>
        </is>
      </c>
      <c r="D18" s="4" t="inlineStr">
        <is>
          <t>Phase 1 lead, oversight all phases</t>
        </is>
      </c>
    </row>
    <row r="19" ht="34.5" customHeight="1" s="110">
      <c r="A19" s="8" t="inlineStr">
        <is>
          <t>Core Backend</t>
        </is>
      </c>
      <c r="B19" s="8" t="inlineStr">
        <is>
          <t>PK (Priya), VS (Vikram)</t>
        </is>
      </c>
      <c r="C19" s="8" t="inlineStr">
        <is>
          <t>Order lifecycle, shipments, routes, shipping profiles, Shopify sync</t>
        </is>
      </c>
      <c r="D19" s="8" t="inlineStr">
        <is>
          <t>Phase 1-2 primary, Phase 4 support</t>
        </is>
      </c>
    </row>
    <row r="20" ht="34.5" customHeight="1" s="110">
      <c r="A20" s="4" t="inlineStr">
        <is>
          <t>Frontend</t>
        </is>
      </c>
      <c r="B20" s="4" t="inlineStr">
        <is>
          <t>NK (Neha), DM (Dev)</t>
        </is>
      </c>
      <c r="C20" s="4" t="inlineStr">
        <is>
          <t>Dashboard UI, all pages, design system, map integrations, UX</t>
        </is>
      </c>
      <c r="D20" s="4" t="inlineStr">
        <is>
          <t>Phase 1-2 primary (parallel with backend)</t>
        </is>
      </c>
    </row>
    <row r="21" ht="34.5" customHeight="1" s="110">
      <c r="A21" s="8" t="inlineStr">
        <is>
          <t>Integrations</t>
        </is>
      </c>
      <c r="B21" s="8" t="inlineStr">
        <is>
          <t>SP (Sanya), RG (Rohan)</t>
        </is>
      </c>
      <c r="C21" s="8" t="inlineStr">
        <is>
          <t>Notifications, payments, billing, analytics, 3rd-party APIs</t>
        </is>
      </c>
      <c r="D21" s="8" t="inlineStr">
        <is>
          <t>Phase 3-4 primary, Phase 5-6</t>
        </is>
      </c>
    </row>
    <row r="22" ht="34.5" customHeight="1" s="110">
      <c r="A22" s="4" t="inlineStr">
        <is>
          <t>Platform</t>
        </is>
      </c>
      <c r="B22" s="4" t="inlineStr">
        <is>
          <t>AM (Aisha)</t>
        </is>
      </c>
      <c r="C22" s="4" t="inlineStr">
        <is>
          <t>Infrastructure, DevOps, queues, caching, monitoring, deployment</t>
        </is>
      </c>
      <c r="D22" s="4" t="inlineStr">
        <is>
          <t>Phase 1 setup, continuous throughout</t>
        </is>
      </c>
    </row>
    <row r="23" ht="34.5" customHeight="1" s="110">
      <c r="A23" s="8" t="inlineStr">
        <is>
          <t>Quality</t>
        </is>
      </c>
      <c r="B23" s="8" t="inlineStr">
        <is>
          <t>KS (Kabir)</t>
        </is>
      </c>
      <c r="C23" s="8" t="inlineStr">
        <is>
          <t>Test strategy, automation, E2E, API tests, migration validation</t>
        </is>
      </c>
      <c r="D23" s="8" t="inlineStr">
        <is>
          <t>Continuous from Phase 2 onwards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5A623"/>
    <outlinePr summaryBelow="1" summaryRight="1"/>
    <pageSetUpPr/>
  </sheetPr>
  <dimension ref="A1:F17"/>
  <sheetViews>
    <sheetView zoomScaleNormal="100" workbookViewId="0">
      <selection activeCell="A1" sqref="A1:H1"/>
    </sheetView>
  </sheetViews>
  <sheetFormatPr baseColWidth="10" defaultColWidth="8.6640625" defaultRowHeight="15" customHeight="1"/>
  <cols>
    <col width="30" customWidth="1" style="110" min="1" max="1"/>
    <col width="35" customWidth="1" style="110" min="2" max="2"/>
    <col width="25" customWidth="1" style="110" min="3" max="3"/>
    <col width="50" customWidth="1" style="110" min="4" max="4"/>
  </cols>
  <sheetData>
    <row r="1" ht="21.75" customHeight="1" s="110">
      <c r="A1" s="112" t="inlineStr">
        <is>
          <t>WITYLOGIX PLATFORM — GAP ANALYSIS</t>
        </is>
      </c>
    </row>
    <row r="2" ht="15" customHeight="1" s="110">
      <c r="A2" s="109" t="inlineStr">
        <is>
          <t>Old Backend (lmd-oms-v3 + lmd-oms-nextjs-v3) → New Platform (witylogix-platform)</t>
        </is>
      </c>
    </row>
    <row r="4" ht="15" customHeight="1" s="110">
      <c r="A4" s="1" t="inlineStr">
        <is>
          <t>Last Updated: Sprint 3.0 (2026-03-08)</t>
        </is>
      </c>
      <c r="B4" s="1" t="inlineStr">
        <is>
          <t>Old System</t>
        </is>
      </c>
      <c r="C4" s="1" t="inlineStr">
        <is>
          <t>New Platform</t>
        </is>
      </c>
      <c r="D4" s="1" t="inlineStr">
        <is>
          <t>Gap</t>
        </is>
      </c>
    </row>
    <row r="5" ht="15" customHeight="1" s="110">
      <c r="A5" s="8" t="inlineStr">
        <is>
          <t>Total Files: 555 source files | 168,753 lines of code</t>
        </is>
      </c>
      <c r="B5" s="8" t="inlineStr">
        <is>
          <t>38+</t>
        </is>
      </c>
      <c r="C5" s="8" t="inlineStr">
        <is>
          <t>26 (Prisma)</t>
        </is>
      </c>
      <c r="D5" s="8" t="inlineStr">
        <is>
          <t>Consolidated into fewer, richer models</t>
        </is>
      </c>
    </row>
    <row r="6" ht="15" customHeight="1" s="110">
      <c r="A6" s="4" t="inlineStr">
        <is>
          <t>Sprints Completed: 1.1, 1.2, 2.0, 2.1, 2.2, 2.3, 2.4, 2.5</t>
        </is>
      </c>
      <c r="B6" s="4" t="inlineStr">
        <is>
          <t>68</t>
        </is>
      </c>
      <c r="C6" s="4" t="inlineStr">
        <is>
          <t>50</t>
        </is>
      </c>
      <c r="D6" s="4" t="inlineStr">
        <is>
          <t>Many features still need pages</t>
        </is>
      </c>
    </row>
    <row r="7" ht="15" customHeight="1" s="110">
      <c r="A7" s="8" t="inlineStr">
        <is>
          <t>API Routes</t>
        </is>
      </c>
      <c r="B7" s="8" t="inlineStr">
        <is>
          <t>85+ (Express)</t>
        </is>
      </c>
      <c r="C7" s="8" t="inlineStr">
        <is>
          <t>42 (Fastify)</t>
        </is>
      </c>
      <c r="D7" s="8" t="inlineStr">
        <is>
          <t>Many endpoints still needed</t>
        </is>
      </c>
    </row>
    <row r="8" ht="15" customHeight="1" s="110">
      <c r="A8" s="4" t="inlineStr">
        <is>
          <t>Services/Controllers</t>
        </is>
      </c>
      <c r="B8" s="4" t="inlineStr">
        <is>
          <t>140+ / 80+</t>
        </is>
      </c>
      <c r="C8" s="4" t="inlineStr">
        <is>
          <t>7+ queue consumers</t>
        </is>
      </c>
      <c r="D8" s="4" t="inlineStr">
        <is>
          <t>Core business logic to rebuild</t>
        </is>
      </c>
    </row>
    <row r="9" ht="15" customHeight="1" s="110">
      <c r="A9" s="8" t="inlineStr">
        <is>
          <t>Microservices (PM2)</t>
        </is>
      </c>
      <c r="B9" s="8" t="inlineStr">
        <is>
          <t>12</t>
        </is>
      </c>
      <c r="C9" s="8" t="inlineStr">
        <is>
          <t>1 monolith + workers</t>
        </is>
      </c>
      <c r="D9" s="8" t="inlineStr">
        <is>
          <t>Queue workers needed</t>
        </is>
      </c>
    </row>
    <row r="10" ht="15" customHeight="1" s="110">
      <c r="A10" s="4" t="inlineStr">
        <is>
          <t>Notification Channels</t>
        </is>
      </c>
      <c r="B10" s="4" t="inlineStr">
        <is>
          <t>Email, SMS, WhatsApp, Push, Slack</t>
        </is>
      </c>
      <c r="C10" s="4" t="inlineStr">
        <is>
          <t>Schema only</t>
        </is>
      </c>
      <c r="D10" s="4" t="inlineStr">
        <is>
          <t>All providers to integrate</t>
        </is>
      </c>
    </row>
    <row r="11" ht="15" customHeight="1" s="110">
      <c r="A11" s="8" t="inlineStr">
        <is>
          <t>Payment Systems</t>
        </is>
      </c>
      <c r="B11" s="8" t="inlineStr">
        <is>
          <t>COD, Custom Gateways, Shopify Txn</t>
        </is>
      </c>
      <c r="C11" s="8" t="inlineStr">
        <is>
          <t>COD + gateway abstractions</t>
        </is>
      </c>
      <c r="D11" s="8" t="inlineStr">
        <is>
          <t>Stripe/Razorpay implementation needed</t>
        </is>
      </c>
    </row>
    <row r="12" ht="15" customHeight="1" s="110">
      <c r="A12" s="4" t="inlineStr">
        <is>
          <t>Map Providers</t>
        </is>
      </c>
      <c r="B12" s="4" t="inlineStr">
        <is>
          <t>Google Maps + Mapbox</t>
        </is>
      </c>
      <c r="C12" s="4" t="inlineStr">
        <is>
          <t>Haversine + PostGIS spatial module</t>
        </is>
      </c>
      <c r="D12" s="4" t="inlineStr">
        <is>
          <t>PostGIS extension enable needed</t>
        </is>
      </c>
    </row>
    <row r="13" ht="15" customHeight="1" s="110">
      <c r="A13" s="8" t="inlineStr">
        <is>
          <t>Webhook Processors</t>
        </is>
      </c>
      <c r="B13" s="8" t="inlineStr">
        <is>
          <t>5 dedicated servers</t>
        </is>
      </c>
      <c r="C13" s="8" t="inlineStr">
        <is>
          <t>4 webhook consumers</t>
        </is>
      </c>
      <c r="D13" s="8" t="inlineStr">
        <is>
          <t>Additional webhook types needed</t>
        </is>
      </c>
    </row>
    <row r="14" ht="15" customHeight="1" s="110">
      <c r="A14" s="4" t="inlineStr">
        <is>
          <t>Real-time Tracking</t>
        </is>
      </c>
      <c r="B14" s="4" t="inlineStr">
        <is>
          <t>Firebase + WebSocket</t>
        </is>
      </c>
      <c r="C14" s="4" t="inlineStr">
        <is>
          <t>None</t>
        </is>
      </c>
      <c r="D14" s="4" t="inlineStr">
        <is>
          <t>Driver tracking to build</t>
        </is>
      </c>
    </row>
    <row r="15" ht="15" customHeight="1" s="110">
      <c r="A15" s="8" t="inlineStr">
        <is>
          <t>Campaign/Marketing</t>
        </is>
      </c>
      <c r="B15" s="8" t="inlineStr">
        <is>
          <t>Email templates, Broadcasts</t>
        </is>
      </c>
      <c r="C15" s="8" t="inlineStr">
        <is>
          <t>None</t>
        </is>
      </c>
      <c r="D15" s="8" t="inlineStr">
        <is>
          <t>Campaign module needed</t>
        </is>
      </c>
    </row>
    <row r="16" ht="15" customHeight="1" s="110">
      <c r="A16" s="4" t="inlineStr">
        <is>
          <t>Integrations</t>
        </is>
      </c>
      <c r="B16" s="4" t="inlineStr">
        <is>
          <t>38 marketplace providers</t>
        </is>
      </c>
      <c r="C16" s="4" t="inlineStr">
        <is>
          <t>Schema + registry</t>
        </is>
      </c>
      <c r="D16" s="4" t="inlineStr">
        <is>
          <t>Provider implementations needed</t>
        </is>
      </c>
    </row>
    <row r="17" ht="15" customHeight="1" s="110">
      <c r="A17" s="8" t="inlineStr">
        <is>
          <t>Components</t>
        </is>
      </c>
      <c r="B17" s="8" t="inlineStr">
        <is>
          <t>296+</t>
        </is>
      </c>
      <c r="C17" s="8" t="inlineStr">
        <is>
          <t>~12</t>
        </is>
      </c>
      <c r="D17" s="8" t="inlineStr">
        <is>
          <t>Component library to expand</t>
        </is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87171"/>
    <outlinePr summaryBelow="1" summaryRight="1"/>
    <pageSetUpPr/>
  </sheetPr>
  <dimension ref="A1:K4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style="110" min="1" max="1"/>
    <col width="22" customWidth="1" style="110" min="2" max="2"/>
    <col width="20" customWidth="1" style="110" min="3" max="3"/>
    <col width="12" customWidth="1" style="110" min="4" max="4"/>
    <col width="60" customWidth="1" style="110" min="5" max="5"/>
    <col width="8" customWidth="1" style="110" min="6" max="6"/>
    <col width="45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26.25" customHeight="1" s="110">
      <c r="A1" s="1" t="inlineStr">
        <is>
          <t>Old Model (MongoDB)</t>
        </is>
      </c>
      <c r="B1" s="1" t="inlineStr">
        <is>
          <t>Collection</t>
        </is>
      </c>
      <c r="C1" s="1" t="inlineStr">
        <is>
          <t>New Model (Prisma)</t>
        </is>
      </c>
      <c r="D1" s="1" t="inlineStr">
        <is>
          <t>Status</t>
        </is>
      </c>
      <c r="E1" s="1" t="inlineStr">
        <is>
          <t>Key Fields Missing in New</t>
        </is>
      </c>
      <c r="F1" s="1" t="inlineStr">
        <is>
          <t>Priority</t>
        </is>
      </c>
      <c r="G1" s="1" t="inlineStr">
        <is>
          <t>Notes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34.5" customHeight="1" s="110">
      <c r="A2" s="22" t="inlineStr">
        <is>
          <t>shopifyOrder</t>
        </is>
      </c>
      <c r="B2" s="22" t="inlineStr">
        <is>
          <t>shopify_orders</t>
        </is>
      </c>
      <c r="C2" s="22" t="inlineStr">
        <is>
          <t>Order</t>
        </is>
      </c>
      <c r="D2" s="23" t="inlineStr">
        <is>
          <t>EXISTS</t>
        </is>
      </c>
      <c r="E2" s="2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24" t="inlineStr">
        <is>
          <t>P0</t>
        </is>
      </c>
      <c r="G2" s="22" t="inlineStr">
        <is>
          <t>Core model - needs many Shopify-specific fields</t>
        </is>
      </c>
      <c r="H2" s="25" t="inlineStr">
        <is>
          <t>☑</t>
        </is>
      </c>
      <c r="I2" s="26" t="inlineStr">
        <is>
          <t>PK - Priya</t>
        </is>
      </c>
      <c r="J2" s="27" t="inlineStr">
        <is>
          <t>Core Backend</t>
        </is>
      </c>
      <c r="K2" s="28" t="inlineStr">
        <is>
          <t>DONE</t>
        </is>
      </c>
    </row>
    <row r="3" ht="45.75" customHeight="1" s="110">
      <c r="A3" s="22" t="inlineStr">
        <is>
          <t>shipment</t>
        </is>
      </c>
      <c r="B3" s="22" t="inlineStr">
        <is>
          <t>shipments</t>
        </is>
      </c>
      <c r="C3" s="22" t="inlineStr">
        <is>
          <t>Shipment</t>
        </is>
      </c>
      <c r="D3" s="24" t="inlineStr">
        <is>
          <t>EXISTS</t>
        </is>
      </c>
      <c r="E3" s="2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24" t="inlineStr">
        <is>
          <t>P0</t>
        </is>
      </c>
      <c r="G3" s="22" t="inlineStr">
        <is>
          <t>Critical gap - old system had full shipment lifecycle separate from orders</t>
        </is>
      </c>
      <c r="H3" s="25" t="inlineStr">
        <is>
          <t>☑</t>
        </is>
      </c>
      <c r="I3" s="26" t="inlineStr">
        <is>
          <t>PK - Priya</t>
        </is>
      </c>
      <c r="J3" s="27" t="inlineStr">
        <is>
          <t>Core Backend</t>
        </is>
      </c>
      <c r="K3" s="29" t="inlineStr">
        <is>
          <t>DONE</t>
        </is>
      </c>
    </row>
    <row r="4" ht="23.25" customHeight="1" s="110">
      <c r="A4" s="4" t="inlineStr">
        <is>
          <t>shipmentItem</t>
        </is>
      </c>
      <c r="B4" s="4" t="inlineStr">
        <is>
          <t>shipment_items</t>
        </is>
      </c>
      <c r="C4" s="4" t="inlineStr">
        <is>
          <t>ShipmentProof</t>
        </is>
      </c>
      <c r="D4" s="30" t="inlineStr">
        <is>
          <t>EXISTS</t>
        </is>
      </c>
      <c r="E4" s="4" t="inlineStr">
        <is>
          <t>Entire model: shipment_ref, product_id, variant_id, quantity, weight, dimensions, customs_value, hs_code, origin_country</t>
        </is>
      </c>
      <c r="F4" s="31" t="inlineStr">
        <is>
          <t>P0</t>
        </is>
      </c>
      <c r="G4" s="4" t="inlineStr">
        <is>
          <t>Sprint 2.7 - 36-shipment-items.prisma</t>
        </is>
      </c>
      <c r="H4" s="32" t="inlineStr">
        <is>
          <t>☑</t>
        </is>
      </c>
      <c r="I4" s="33" t="inlineStr">
        <is>
          <t>PK - Priya</t>
        </is>
      </c>
      <c r="J4" s="5" t="inlineStr">
        <is>
          <t>Core Backend</t>
        </is>
      </c>
      <c r="K4" s="34" t="inlineStr">
        <is>
          <t>IN PROGRESS</t>
        </is>
      </c>
    </row>
    <row r="5" ht="23.25" customHeight="1" s="110">
      <c r="A5" s="22" t="inlineStr">
        <is>
          <t>user</t>
        </is>
      </c>
      <c r="B5" s="22" t="inlineStr">
        <is>
          <t>users</t>
        </is>
      </c>
      <c r="C5" s="22" t="inlineStr">
        <is>
          <t>User</t>
        </is>
      </c>
      <c r="D5" s="23" t="inlineStr">
        <is>
          <t>EXISTS</t>
        </is>
      </c>
      <c r="E5" s="22" t="inlineStr">
        <is>
          <t>phone, avatar, permissions[], timezone, language, lastActiveAt, inviteToken, inviteExpiry, twoFactorEnabled, notificationPreferences</t>
        </is>
      </c>
      <c r="F5" s="23" t="inlineStr">
        <is>
          <t>P1</t>
        </is>
      </c>
      <c r="G5" s="22" t="inlineStr">
        <is>
          <t>Old had richer user profiles</t>
        </is>
      </c>
      <c r="H5" s="25" t="inlineStr">
        <is>
          <t>☑</t>
        </is>
      </c>
      <c r="I5" s="35" t="inlineStr">
        <is>
          <t>AR - Arjun</t>
        </is>
      </c>
      <c r="J5" s="27" t="inlineStr">
        <is>
          <t>Architecture</t>
        </is>
      </c>
      <c r="K5" s="29" t="inlineStr">
        <is>
          <t>DONE</t>
        </is>
      </c>
    </row>
    <row r="6" ht="23.25" customHeight="1" s="110">
      <c r="A6" s="22" t="inlineStr">
        <is>
          <t>userRole</t>
        </is>
      </c>
      <c r="B6" s="22" t="inlineStr">
        <is>
          <t>user_roles</t>
        </is>
      </c>
      <c r="C6" s="22" t="inlineStr">
        <is>
          <t>User.role (enum)</t>
        </is>
      </c>
      <c r="D6" s="23" t="inlineStr">
        <is>
          <t>EXISTS</t>
        </is>
      </c>
      <c r="E6" s="22" t="inlineStr">
        <is>
          <t>Full RBAC model with permissions array, resource-level access, customizable roles</t>
        </is>
      </c>
      <c r="F6" s="23" t="inlineStr">
        <is>
          <t>P1</t>
        </is>
      </c>
      <c r="G6" s="22" t="inlineStr">
        <is>
          <t>Old had dynamic roles; new uses fixed enum</t>
        </is>
      </c>
      <c r="H6" s="25" t="inlineStr">
        <is>
          <t>☑</t>
        </is>
      </c>
      <c r="I6" s="35" t="inlineStr">
        <is>
          <t>AR - Arjun</t>
        </is>
      </c>
      <c r="J6" s="27" t="inlineStr">
        <is>
          <t>Architecture</t>
        </is>
      </c>
      <c r="K6" s="29" t="inlineStr">
        <is>
          <t>DONE</t>
        </is>
      </c>
    </row>
    <row r="7" ht="15" customHeight="1" s="110">
      <c r="A7" s="8" t="inlineStr">
        <is>
          <t>userPermission</t>
        </is>
      </c>
      <c r="B7" s="8" t="inlineStr">
        <is>
          <t>user_permissions</t>
        </is>
      </c>
      <c r="C7" s="8" t="inlineStr">
        <is>
          <t>—</t>
        </is>
      </c>
      <c r="D7" s="30" t="inlineStr">
        <is>
          <t>MISSING</t>
        </is>
      </c>
      <c r="E7" s="8" t="inlineStr">
        <is>
          <t>Entire model: role_ref, resource, action, allow/deny, conditions</t>
        </is>
      </c>
      <c r="F7" s="36" t="inlineStr">
        <is>
          <t>P1</t>
        </is>
      </c>
      <c r="G7" s="8" t="inlineStr">
        <is>
          <t>Granular permission system missing</t>
        </is>
      </c>
      <c r="H7" s="32" t="inlineStr">
        <is>
          <t>☑</t>
        </is>
      </c>
      <c r="I7" s="37" t="inlineStr">
        <is>
          <t>AR - Arjun</t>
        </is>
      </c>
      <c r="J7" s="9" t="inlineStr">
        <is>
          <t>Architecture</t>
        </is>
      </c>
      <c r="K7" s="38" t="inlineStr">
        <is>
          <t>DONE</t>
        </is>
      </c>
    </row>
    <row r="8" ht="34.5" customHeight="1" s="110">
      <c r="A8" s="22" t="inlineStr">
        <is>
          <t>storeDetail</t>
        </is>
      </c>
      <c r="B8" s="22" t="inlineStr">
        <is>
          <t>store_details</t>
        </is>
      </c>
      <c r="C8" s="22" t="inlineStr">
        <is>
          <t>Shop</t>
        </is>
      </c>
      <c r="D8" s="23" t="inlineStr">
        <is>
          <t>EXISTS</t>
        </is>
      </c>
      <c r="E8" s="2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23" t="inlineStr">
        <is>
          <t>P1</t>
        </is>
      </c>
      <c r="G8" s="22" t="inlineStr">
        <is>
          <t>Shop model is minimal vs old storeDetail</t>
        </is>
      </c>
      <c r="H8" s="25" t="inlineStr">
        <is>
          <t>☑</t>
        </is>
      </c>
      <c r="I8" s="35" t="inlineStr">
        <is>
          <t>AR - Arjun</t>
        </is>
      </c>
      <c r="J8" s="27" t="inlineStr">
        <is>
          <t>Architecture</t>
        </is>
      </c>
      <c r="K8" s="29" t="inlineStr">
        <is>
          <t>DONE</t>
        </is>
      </c>
    </row>
    <row r="9" ht="34.5" customHeight="1" s="110">
      <c r="A9" s="22" t="inlineStr">
        <is>
          <t>storeSettings</t>
        </is>
      </c>
      <c r="B9" s="22" t="inlineStr">
        <is>
          <t>store_settings</t>
        </is>
      </c>
      <c r="C9" s="22" t="inlineStr">
        <is>
          <t>Shop.settings (JSON)</t>
        </is>
      </c>
      <c r="D9" s="23" t="inlineStr">
        <is>
          <t>EXISTS</t>
        </is>
      </c>
      <c r="E9" s="22" t="inlineStr">
        <is>
          <t>Structured settings: autoAssign, proofOfDelivery, signatureRequired, realTimeTracking, driverAppConfig, customerNotificationDefaults, inventorySync, fulfillmentRules</t>
        </is>
      </c>
      <c r="F9" s="23" t="inlineStr">
        <is>
          <t>P1</t>
        </is>
      </c>
      <c r="G9" s="22" t="inlineStr">
        <is>
          <t>Old had explicit fields; new uses opaque JSON</t>
        </is>
      </c>
      <c r="H9" s="25" t="inlineStr">
        <is>
          <t>☑</t>
        </is>
      </c>
      <c r="I9" s="35" t="inlineStr">
        <is>
          <t>AR - Arjun</t>
        </is>
      </c>
      <c r="J9" s="27" t="inlineStr">
        <is>
          <t>Architecture</t>
        </is>
      </c>
      <c r="K9" s="29" t="inlineStr">
        <is>
          <t>DONE</t>
        </is>
      </c>
    </row>
    <row r="10" ht="23.25" customHeight="1" s="110">
      <c r="A10" s="22" t="inlineStr">
        <is>
          <t>storeApiSettings</t>
        </is>
      </c>
      <c r="B10" s="22" t="inlineStr">
        <is>
          <t>store_api_settings</t>
        </is>
      </c>
      <c r="C10" s="22" t="inlineStr">
        <is>
          <t>Integration</t>
        </is>
      </c>
      <c r="D10" s="23" t="inlineStr">
        <is>
          <t>EXISTS</t>
        </is>
      </c>
      <c r="E10" s="22" t="inlineStr">
        <is>
          <t>Old had dedicated model for API keys per provider (Google, Mapbox, Twilio, SendGrid, etc.)</t>
        </is>
      </c>
      <c r="F10" s="39" t="inlineStr">
        <is>
          <t>P2</t>
        </is>
      </c>
      <c r="G10" s="22" t="inlineStr">
        <is>
          <t>Subsumed by Integration model but less explicit</t>
        </is>
      </c>
      <c r="H10" s="25" t="inlineStr">
        <is>
          <t>☑</t>
        </is>
      </c>
      <c r="I10" s="40" t="inlineStr">
        <is>
          <t>SP - Sanya</t>
        </is>
      </c>
      <c r="J10" s="27" t="inlineStr">
        <is>
          <t>Integrations</t>
        </is>
      </c>
      <c r="K10" s="29" t="inlineStr">
        <is>
          <t>DONE</t>
        </is>
      </c>
    </row>
    <row r="11" ht="15" customHeight="1" s="110">
      <c r="A11" s="8" t="inlineStr">
        <is>
          <t>storeInfo</t>
        </is>
      </c>
      <c r="B11" s="8" t="inlineStr">
        <is>
          <t>store_infos</t>
        </is>
      </c>
      <c r="C11" s="8" t="inlineStr">
        <is>
          <t>Shop</t>
        </is>
      </c>
      <c r="D11" s="41" t="inlineStr">
        <is>
          <t>EXISTS</t>
        </is>
      </c>
      <c r="E11" s="8" t="inlineStr">
        <is>
          <t>Merged into Shop model</t>
        </is>
      </c>
      <c r="F11" s="8" t="inlineStr">
        <is>
          <t>—</t>
        </is>
      </c>
      <c r="G11" s="8" t="inlineStr">
        <is>
          <t>Consolidated correctly</t>
        </is>
      </c>
      <c r="H11" s="42" t="inlineStr">
        <is>
          <t>☑</t>
        </is>
      </c>
      <c r="I11" s="43" t="inlineStr">
        <is>
          <t>—</t>
        </is>
      </c>
      <c r="J11" s="9" t="inlineStr">
        <is>
          <t>—</t>
        </is>
      </c>
      <c r="K11" s="44" t="inlineStr">
        <is>
          <t>DONE</t>
        </is>
      </c>
    </row>
    <row r="12" ht="34.5" customHeight="1" s="110">
      <c r="A12" s="4" t="inlineStr">
        <is>
          <t>calenderRule / calenderProfile</t>
        </is>
      </c>
      <c r="B12" s="4" t="inlineStr">
        <is>
          <t>calender_rules / calender_profiles</t>
        </is>
      </c>
      <c r="C12" s="4" t="inlineStr">
        <is>
          <t>—</t>
        </is>
      </c>
      <c r="D12" s="30" t="inlineStr">
        <is>
          <t>MISSING</t>
        </is>
      </c>
      <c r="E12" s="4" t="inlineStr">
        <is>
          <t>Entire models: blackout_dates[], operating_hours{}, preparation_time, cutoff_rules, holiday_calendars, recurring_rules, capacity_by_day, special_event_overrides</t>
        </is>
      </c>
      <c r="F12" s="31" t="inlineStr">
        <is>
          <t>P0</t>
        </is>
      </c>
      <c r="G12" s="4" t="inlineStr">
        <is>
          <t>Sprint 2.5: calendar-engine.ts in shipping-profiles module</t>
        </is>
      </c>
      <c r="H12" s="32" t="inlineStr">
        <is>
          <t>☑</t>
        </is>
      </c>
      <c r="I12" s="45" t="inlineStr">
        <is>
          <t>VS - Vikram</t>
        </is>
      </c>
      <c r="J12" s="5" t="inlineStr">
        <is>
          <t>Core Backend</t>
        </is>
      </c>
      <c r="K12" s="46" t="inlineStr">
        <is>
          <t>DONE</t>
        </is>
      </c>
    </row>
    <row r="13" ht="34.5" customHeight="1" s="110">
      <c r="A13" s="8" t="inlineStr">
        <is>
          <t>deliveryRule / pickupRule / shippingRule</t>
        </is>
      </c>
      <c r="B13" s="8" t="inlineStr">
        <is>
          <t>Various</t>
        </is>
      </c>
      <c r="C13" s="8" t="inlineStr">
        <is>
          <t>—</t>
        </is>
      </c>
      <c r="D13" s="30" t="inlineStr">
        <is>
          <t>EXISTS</t>
        </is>
      </c>
      <c r="E13" s="8" t="inlineStr">
        <is>
          <t>Entire rule engines: distance-based, weight-based, zone-based, product-category, minimum-order, time-window, same-day/next-day rules, rate tables, conditional logic</t>
        </is>
      </c>
      <c r="F13" s="47" t="inlineStr">
        <is>
          <t>P0</t>
        </is>
      </c>
      <c r="G13" s="8" t="inlineStr">
        <is>
          <t>Sprint 2.4 - DeliveryRule, PickupRule, CalendarProfile models added</t>
        </is>
      </c>
      <c r="H13" s="32" t="inlineStr">
        <is>
          <t>☑</t>
        </is>
      </c>
      <c r="I13" s="48" t="inlineStr">
        <is>
          <t>VS - Vikram</t>
        </is>
      </c>
      <c r="J13" s="9" t="inlineStr">
        <is>
          <t>Core Backend</t>
        </is>
      </c>
      <c r="K13" s="38" t="inlineStr">
        <is>
          <t>DONE</t>
        </is>
      </c>
    </row>
    <row r="14" ht="23.25" customHeight="1" s="110">
      <c r="A14" s="4" t="inlineStr">
        <is>
          <t>shippingProfile</t>
        </is>
      </c>
      <c r="B14" s="4" t="inlineStr">
        <is>
          <t>shipping_profiles</t>
        </is>
      </c>
      <c r="C14" s="4" t="inlineStr">
        <is>
          <t>ShippingProfile + ShippingRate + ShippingZoneRule + DeliveryCalendar</t>
        </is>
      </c>
      <c r="D14" s="30" t="inlineStr">
        <is>
          <t>MISSING</t>
        </is>
      </c>
      <c r="E14" s="4" t="inlineStr">
        <is>
          <t>Entire model: locations[], rates[], rules[], zones[], delivery_methods[], processing_times, conditions, product_groups</t>
        </is>
      </c>
      <c r="F14" s="31" t="inlineStr">
        <is>
          <t>P0</t>
        </is>
      </c>
      <c r="G14" s="4" t="inlineStr">
        <is>
          <t>Sprint 2.5: 31-shipping-profiles-v2.prisma + full core module</t>
        </is>
      </c>
      <c r="H14" s="32" t="inlineStr">
        <is>
          <t>☑</t>
        </is>
      </c>
      <c r="I14" s="45" t="inlineStr">
        <is>
          <t>VS - Vikram</t>
        </is>
      </c>
      <c r="J14" s="5" t="inlineStr">
        <is>
          <t>Core Backend</t>
        </is>
      </c>
      <c r="K14" s="46" t="inlineStr">
        <is>
          <t>DONE</t>
        </is>
      </c>
    </row>
    <row r="15" ht="23.25" customHeight="1" s="110">
      <c r="A15" s="22" t="inlineStr">
        <is>
          <t>zone</t>
        </is>
      </c>
      <c r="B15" s="22" t="inlineStr">
        <is>
          <t>zones</t>
        </is>
      </c>
      <c r="C15" s="22" t="inlineStr">
        <is>
          <t>DeliveryZone</t>
        </is>
      </c>
      <c r="D15" s="23" t="inlineStr">
        <is>
          <t>EXISTS</t>
        </is>
      </c>
      <c r="E15" s="22" t="inlineStr">
        <is>
          <t>boundary polygon (PostGIS), color, description, delivery_methods[], associated_locations[], max_distance, estimated_time_range</t>
        </is>
      </c>
      <c r="F15" s="23" t="inlineStr">
        <is>
          <t>P1</t>
        </is>
      </c>
      <c r="G15" s="22" t="inlineStr">
        <is>
          <t>PostGIS boundary is TODO; zone features limited</t>
        </is>
      </c>
      <c r="H15" s="25" t="inlineStr">
        <is>
          <t>☑</t>
        </is>
      </c>
      <c r="I15" s="49" t="inlineStr">
        <is>
          <t>VS - Vikram</t>
        </is>
      </c>
      <c r="J15" s="27" t="inlineStr">
        <is>
          <t>Core Backend</t>
        </is>
      </c>
      <c r="K15" s="29" t="inlineStr">
        <is>
          <t>DONE</t>
        </is>
      </c>
    </row>
    <row r="16" ht="34.5" customHeight="1" s="110">
      <c r="A16" s="22" t="inlineStr">
        <is>
          <t>location / warehouse</t>
        </is>
      </c>
      <c r="B16" s="22" t="inlineStr">
        <is>
          <t>locations</t>
        </is>
      </c>
      <c r="C16" s="22" t="inlineStr">
        <is>
          <t>Location</t>
        </is>
      </c>
      <c r="D16" s="24" t="inlineStr">
        <is>
          <t>EXISTS</t>
        </is>
      </c>
      <c r="E16" s="22" t="inlineStr">
        <is>
          <t>Entire model: name, address, coordinates, type (warehouse/store/hub), inventory[], working_hours, pickup_rules, delivery_rules, associated_zones[], capacity, contact_info</t>
        </is>
      </c>
      <c r="F16" s="24" t="inlineStr">
        <is>
          <t>P0</t>
        </is>
      </c>
      <c r="G16" s="22" t="inlineStr">
        <is>
          <t>No location/warehouse model in new schema</t>
        </is>
      </c>
      <c r="H16" s="25" t="inlineStr">
        <is>
          <t>☑</t>
        </is>
      </c>
      <c r="I16" s="49" t="inlineStr">
        <is>
          <t>VS - Vikram</t>
        </is>
      </c>
      <c r="J16" s="27" t="inlineStr">
        <is>
          <t>Core Backend</t>
        </is>
      </c>
      <c r="K16" s="29" t="inlineStr">
        <is>
          <t>DONE</t>
        </is>
      </c>
    </row>
    <row r="17" ht="34.5" customHeight="1" s="110">
      <c r="A17" s="22" t="inlineStr">
        <is>
          <t>vehicle</t>
        </is>
      </c>
      <c r="B17" s="22" t="inlineStr">
        <is>
          <t>vehicles</t>
        </is>
      </c>
      <c r="C17" s="22" t="inlineStr">
        <is>
          <t>Driver (with vehicle fields)</t>
        </is>
      </c>
      <c r="D17" s="23" t="inlineStr">
        <is>
          <t>EXISTS</t>
        </is>
      </c>
      <c r="E17" s="22" t="inlineStr">
        <is>
          <t>Old had separate Vehicle model: make, model, year, color, insurance, registration, capacity_volume, capacity_weight, fuel_type, maintenance_schedule</t>
        </is>
      </c>
      <c r="F17" s="39" t="inlineStr">
        <is>
          <t>P2</t>
        </is>
      </c>
      <c r="G17" s="22" t="inlineStr">
        <is>
          <t>New schema has vehicleType/vehiclePlate on Driver only</t>
        </is>
      </c>
      <c r="H17" s="25" t="inlineStr">
        <is>
          <t>☑</t>
        </is>
      </c>
      <c r="I17" s="49" t="inlineStr">
        <is>
          <t>VS - Vikram</t>
        </is>
      </c>
      <c r="J17" s="27" t="inlineStr">
        <is>
          <t>Core Backend</t>
        </is>
      </c>
      <c r="K17" s="29" t="inlineStr">
        <is>
          <t>DONE</t>
        </is>
      </c>
    </row>
    <row r="18" ht="23.25" customHeight="1" s="110">
      <c r="A18" s="22" t="inlineStr">
        <is>
          <t>notificationTemplate</t>
        </is>
      </c>
      <c r="B18" s="22" t="inlineStr">
        <is>
          <t>notification_templates</t>
        </is>
      </c>
      <c r="C18" s="22" t="inlineStr">
        <is>
          <t>NotificationTemplate</t>
        </is>
      </c>
      <c r="D18" s="24" t="inlineStr">
        <is>
          <t>EXISTS</t>
        </is>
      </c>
      <c r="E18" s="22" t="inlineStr">
        <is>
          <t>Entire model: channel, event_type, subject, body_template, variables[], isActive, language, version</t>
        </is>
      </c>
      <c r="F18" s="23" t="inlineStr">
        <is>
          <t>P1</t>
        </is>
      </c>
      <c r="G18" s="22" t="inlineStr">
        <is>
          <t>Notification template system missing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23.25" customHeight="1" s="110">
      <c r="A19" s="22" t="inlineStr">
        <is>
          <t>notificationConfig</t>
        </is>
      </c>
      <c r="B19" s="22" t="inlineStr">
        <is>
          <t>notification_configs</t>
        </is>
      </c>
      <c r="C19" s="22" t="inlineStr">
        <is>
          <t>NotificationLog</t>
        </is>
      </c>
      <c r="D19" s="24" t="inlineStr">
        <is>
          <t>EXISTS</t>
        </is>
      </c>
      <c r="E19" s="22" t="inlineStr">
        <is>
          <t>Per-store notification preferences: enabled_channels{}, event_subscriptions{}, quiet_hours, frequency_limits</t>
        </is>
      </c>
      <c r="F19" s="23" t="inlineStr">
        <is>
          <t>P1</t>
        </is>
      </c>
      <c r="G19" s="22" t="inlineStr">
        <is>
          <t>Notification configuration missing</t>
        </is>
      </c>
      <c r="H19" s="25" t="inlineStr">
        <is>
          <t>☑</t>
        </is>
      </c>
      <c r="I19" s="40" t="inlineStr">
        <is>
          <t>SP - Sanya</t>
        </is>
      </c>
      <c r="J19" s="27" t="inlineStr">
        <is>
          <t>Integrations</t>
        </is>
      </c>
      <c r="K19" s="29" t="inlineStr">
        <is>
          <t>DONE</t>
        </is>
      </c>
    </row>
    <row r="20" ht="23.25" customHeight="1" s="110">
      <c r="A20" s="4" t="inlineStr">
        <is>
          <t>whatsappTemplate</t>
        </is>
      </c>
      <c r="B20" s="4" t="inlineStr">
        <is>
          <t>whatsapp_templates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Entire model: template_id, name, language, category, components[], status, provider_template_id</t>
        </is>
      </c>
      <c r="F20" s="50" t="inlineStr">
        <is>
          <t>P2</t>
        </is>
      </c>
      <c r="G20" s="4" t="inlineStr">
        <is>
          <t>WhatsApp Business template management</t>
        </is>
      </c>
      <c r="H20" s="32" t="inlineStr">
        <is>
          <t>☑</t>
        </is>
      </c>
      <c r="I20" s="51" t="inlineStr">
        <is>
          <t>SP - Sanya</t>
        </is>
      </c>
      <c r="J20" s="5" t="inlineStr">
        <is>
          <t>Integrations</t>
        </is>
      </c>
      <c r="K20" s="34" t="inlineStr">
        <is>
          <t>DONE</t>
        </is>
      </c>
    </row>
    <row r="21" ht="23.25" customHeight="1" s="110">
      <c r="A21" s="8" t="inlineStr">
        <is>
          <t>campaign</t>
        </is>
      </c>
      <c r="B21" s="8" t="inlineStr">
        <is>
          <t>campaigns</t>
        </is>
      </c>
      <c r="C21" s="8" t="inlineStr">
        <is>
          <t>—</t>
        </is>
      </c>
      <c r="D21" s="30" t="inlineStr">
        <is>
          <t>MISSING</t>
        </is>
      </c>
      <c r="E21" s="8" t="inlineStr">
        <is>
          <t>Entire model: name, type, audience_filter, template_ref, schedule, status, sent_count, open_rate, click_rate</t>
        </is>
      </c>
      <c r="F21" s="52" t="inlineStr">
        <is>
          <t>P2</t>
        </is>
      </c>
      <c r="G21" s="8" t="inlineStr">
        <is>
          <t>Campaign/marketing module missing</t>
        </is>
      </c>
      <c r="H21" s="32" t="inlineStr">
        <is>
          <t>☑</t>
        </is>
      </c>
      <c r="I21" s="53" t="inlineStr">
        <is>
          <t>SP - Sanya</t>
        </is>
      </c>
      <c r="J21" s="9" t="inlineStr">
        <is>
          <t>Integrations</t>
        </is>
      </c>
      <c r="K21" s="38" t="inlineStr">
        <is>
          <t>DONE</t>
        </is>
      </c>
    </row>
    <row r="22" ht="15" customHeight="1" s="110">
      <c r="A22" s="4" t="inlineStr">
        <is>
          <t>broadcastGroup</t>
        </is>
      </c>
      <c r="B22" s="4" t="inlineStr">
        <is>
          <t>broadcast_groups</t>
        </is>
      </c>
      <c r="C22" s="4" t="inlineStr">
        <is>
          <t>—</t>
        </is>
      </c>
      <c r="D22" s="30" t="inlineStr">
        <is>
          <t>MISSING</t>
        </is>
      </c>
      <c r="E22" s="4" t="inlineStr">
        <is>
          <t>Entire model: name, type, member_filter, members[], metadata</t>
        </is>
      </c>
      <c r="F22" s="50" t="inlineStr">
        <is>
          <t>P2</t>
        </is>
      </c>
      <c r="G22" s="4" t="inlineStr">
        <is>
          <t>Broadcast targeting missing</t>
        </is>
      </c>
      <c r="H22" s="32" t="inlineStr">
        <is>
          <t>☑</t>
        </is>
      </c>
      <c r="I22" s="51" t="inlineStr">
        <is>
          <t>SP - Sanya</t>
        </is>
      </c>
      <c r="J22" s="5" t="inlineStr">
        <is>
          <t>Integrations</t>
        </is>
      </c>
      <c r="K22" s="34" t="inlineStr">
        <is>
          <t>DONE</t>
        </is>
      </c>
    </row>
    <row r="23" ht="23.25" customHeight="1" s="110">
      <c r="A23" s="8" t="inlineStr">
        <is>
          <t>emailTemplate</t>
        </is>
      </c>
      <c r="B23" s="8" t="inlineStr">
        <is>
          <t>email_templates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Entire model: name, subject, html_body, design_json (Unlayer), category, variables[]</t>
        </is>
      </c>
      <c r="F23" s="52" t="inlineStr">
        <is>
          <t>P2</t>
        </is>
      </c>
      <c r="G23" s="8" t="inlineStr">
        <is>
          <t>Email template editor/storage missing</t>
        </is>
      </c>
      <c r="H23" s="32" t="inlineStr">
        <is>
          <t>☑</t>
        </is>
      </c>
      <c r="I23" s="53" t="inlineStr">
        <is>
          <t>SP - Sanya</t>
        </is>
      </c>
      <c r="J23" s="9" t="inlineStr">
        <is>
          <t>Integrations</t>
        </is>
      </c>
      <c r="K23" s="38" t="inlineStr">
        <is>
          <t>DONE</t>
        </is>
      </c>
    </row>
    <row r="24" ht="23.25" customHeight="1" s="110">
      <c r="A24" s="4" t="inlineStr">
        <is>
          <t>paymentGateway</t>
        </is>
      </c>
      <c r="B24" s="4" t="inlineStr">
        <is>
          <t>payment_gateways</t>
        </is>
      </c>
      <c r="C24" s="4" t="inlineStr">
        <is>
          <t>PaymentMethod + PaymentTransaction + IdempotencyKey</t>
        </is>
      </c>
      <c r="D24" s="30" t="inlineStr">
        <is>
          <t>MISSING</t>
        </is>
      </c>
      <c r="E24" s="4" t="inlineStr">
        <is>
          <t>Entire model: provider, config, supported_methods[], fees, enabled, test_mode</t>
        </is>
      </c>
      <c r="F24" s="54" t="inlineStr">
        <is>
          <t>P1</t>
        </is>
      </c>
      <c r="G24" s="4" t="inlineStr">
        <is>
          <t>Sprint 2.5: 30-payments.prisma + payment processor</t>
        </is>
      </c>
      <c r="H24" s="32" t="inlineStr">
        <is>
          <t>☑</t>
        </is>
      </c>
      <c r="I24" s="55" t="inlineStr">
        <is>
          <t>RG - Rohan</t>
        </is>
      </c>
      <c r="J24" s="5" t="inlineStr">
        <is>
          <t>Integrations</t>
        </is>
      </c>
      <c r="K24" s="46" t="inlineStr">
        <is>
          <t>DONE</t>
        </is>
      </c>
    </row>
    <row r="25" ht="23.25" customHeight="1" s="110">
      <c r="A25" s="8" t="inlineStr">
        <is>
          <t>codGateway</t>
        </is>
      </c>
      <c r="B25" s="8" t="inlineStr">
        <is>
          <t>cod_gateways</t>
        </is>
      </c>
      <c r="C25" s="8" t="inlineStr">
        <is>
          <t>CODCollection (in 30-payments.prisma)</t>
        </is>
      </c>
      <c r="D25" s="30" t="inlineStr">
        <is>
          <t>MISSING</t>
        </is>
      </c>
      <c r="E25" s="8" t="inlineStr">
        <is>
          <t>Entire model: enabled, verification_required, max_amount, collection_rules, reconciliation</t>
        </is>
      </c>
      <c r="F25" s="36" t="inlineStr">
        <is>
          <t>P1</t>
        </is>
      </c>
      <c r="G25" s="8" t="inlineStr">
        <is>
          <t>Sprint 2.5: CODGateway class in payments module</t>
        </is>
      </c>
      <c r="H25" s="32" t="inlineStr">
        <is>
          <t>☑</t>
        </is>
      </c>
      <c r="I25" s="56" t="inlineStr">
        <is>
          <t>RG - Rohan</t>
        </is>
      </c>
      <c r="J25" s="9" t="inlineStr">
        <is>
          <t>Integrations</t>
        </is>
      </c>
      <c r="K25" s="46" t="inlineStr">
        <is>
          <t>DONE</t>
        </is>
      </c>
    </row>
    <row r="26" ht="23.25" customHeight="1" s="110">
      <c r="A26" s="22" t="inlineStr">
        <is>
          <t>paymentTransaction</t>
        </is>
      </c>
      <c r="B26" s="22" t="inlineStr">
        <is>
          <t>payment_transactions</t>
        </is>
      </c>
      <c r="C26" s="22" t="inlineStr">
        <is>
          <t>PaymentTransaction</t>
        </is>
      </c>
      <c r="D26" s="24" t="inlineStr">
        <is>
          <t>EXISTS</t>
        </is>
      </c>
      <c r="E26" s="22" t="inlineStr">
        <is>
          <t>Entire model: order_ref, shipment_ref, amount, currency, method, status, provider_txn_id, refund_id, metadata</t>
        </is>
      </c>
      <c r="F26" s="23" t="inlineStr">
        <is>
          <t>P1</t>
        </is>
      </c>
      <c r="G26" s="22" t="inlineStr">
        <is>
          <t>No transaction tracking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23.25" customHeight="1" s="110">
      <c r="A27" s="22" t="inlineStr">
        <is>
          <t>product</t>
        </is>
      </c>
      <c r="B27" s="22" t="inlineStr">
        <is>
          <t>products</t>
        </is>
      </c>
      <c r="C27" s="22" t="inlineStr">
        <is>
          <t>Product</t>
        </is>
      </c>
      <c r="D27" s="24" t="inlineStr">
        <is>
          <t>EXISTS</t>
        </is>
      </c>
      <c r="E27" s="22" t="inlineStr">
        <is>
          <t>Entire model: shopify_product_id, title, variants[], images[], tags[], product_type, vendor, weight, dimensions, inventory_quantity, metafields</t>
        </is>
      </c>
      <c r="F27" s="23" t="inlineStr">
        <is>
          <t>P1</t>
        </is>
      </c>
      <c r="G27" s="22" t="inlineStr">
        <is>
          <t>No product catalog in new schema</t>
        </is>
      </c>
      <c r="H27" s="25" t="inlineStr">
        <is>
          <t>☑</t>
        </is>
      </c>
      <c r="I27" s="26" t="inlineStr">
        <is>
          <t>PK - Priya</t>
        </is>
      </c>
      <c r="J27" s="27" t="inlineStr">
        <is>
          <t>Core Backend</t>
        </is>
      </c>
      <c r="K27" s="29" t="inlineStr">
        <is>
          <t>DONE</t>
        </is>
      </c>
    </row>
    <row r="28" ht="23.25" customHeight="1" s="110">
      <c r="A28" s="22" t="inlineStr">
        <is>
          <t>customer</t>
        </is>
      </c>
      <c r="B28" s="22" t="inlineStr">
        <is>
          <t>customers</t>
        </is>
      </c>
      <c r="C28" s="22" t="inlineStr">
        <is>
          <t>Customer</t>
        </is>
      </c>
      <c r="D28" s="24" t="inlineStr">
        <is>
          <t>EXISTS</t>
        </is>
      </c>
      <c r="E28" s="22" t="inlineStr">
        <is>
          <t>Entire model: shopify_customer_id, name, email, phone, addresses[], orders_count, total_spent, tags[], notes, marketing_consent</t>
        </is>
      </c>
      <c r="F28" s="23" t="inlineStr">
        <is>
          <t>P1</t>
        </is>
      </c>
      <c r="G28" s="22" t="inlineStr">
        <is>
          <t>No customer model in new schema</t>
        </is>
      </c>
      <c r="H28" s="25" t="inlineStr">
        <is>
          <t>☑</t>
        </is>
      </c>
      <c r="I28" s="26" t="inlineStr">
        <is>
          <t>PK - Priya</t>
        </is>
      </c>
      <c r="J28" s="27" t="inlineStr">
        <is>
          <t>Core Backend</t>
        </is>
      </c>
      <c r="K28" s="29" t="inlineStr">
        <is>
          <t>DONE</t>
        </is>
      </c>
    </row>
    <row r="29" ht="23.25" customHeight="1" s="110">
      <c r="A29" s="8" t="inlineStr">
        <is>
          <t>collection</t>
        </is>
      </c>
      <c r="B29" s="8" t="inlineStr">
        <is>
          <t>collections</t>
        </is>
      </c>
      <c r="C29" s="8" t="inlineStr">
        <is>
          <t>—</t>
        </is>
      </c>
      <c r="D29" s="30" t="inlineStr">
        <is>
          <t>EXISTS</t>
        </is>
      </c>
      <c r="E29" s="8" t="inlineStr">
        <is>
          <t>Entire model: shopify_collection_id, title, products[], type, sort_order, image</t>
        </is>
      </c>
      <c r="F29" s="52" t="inlineStr">
        <is>
          <t>P2</t>
        </is>
      </c>
      <c r="G29" s="8" t="inlineStr">
        <is>
          <t>Sprint 2.7</t>
        </is>
      </c>
      <c r="H29" s="32" t="inlineStr">
        <is>
          <t>☑</t>
        </is>
      </c>
      <c r="I29" s="58" t="inlineStr">
        <is>
          <t>PK - Priya</t>
        </is>
      </c>
      <c r="J29" s="9" t="inlineStr">
        <is>
          <t>Core Backend</t>
        </is>
      </c>
      <c r="K29" s="38" t="inlineStr">
        <is>
          <t>NOT STARTED</t>
        </is>
      </c>
    </row>
    <row r="30" ht="23.25" customHeight="1" s="110">
      <c r="A30" s="4" t="inlineStr">
        <is>
          <t>inventoryItem</t>
        </is>
      </c>
      <c r="B30" s="4" t="inlineStr">
        <is>
          <t>inventory_items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Entire model: product_ref, location_ref, quantity, reserved, available, reorder_point, last_sync</t>
        </is>
      </c>
      <c r="F30" s="54" t="inlineStr">
        <is>
          <t>P1</t>
        </is>
      </c>
      <c r="G30" s="4" t="inlineStr">
        <is>
          <t>Sprint 2.4 - InventoryItem, InventoryMovement, Collection models</t>
        </is>
      </c>
      <c r="H30" s="32" t="inlineStr">
        <is>
          <t>☑</t>
        </is>
      </c>
      <c r="I30" s="33" t="inlineStr">
        <is>
          <t>PK - Priya</t>
        </is>
      </c>
      <c r="J30" s="5" t="inlineStr">
        <is>
          <t>Core Backend</t>
        </is>
      </c>
      <c r="K30" s="34" t="inlineStr">
        <is>
          <t>DONE</t>
        </is>
      </c>
    </row>
    <row r="31" ht="15" customHeight="1" s="110">
      <c r="A31" s="8" t="inlineStr">
        <is>
          <t>proofOfDelivery</t>
        </is>
      </c>
      <c r="B31" s="8" t="inlineStr">
        <is>
          <t>Various (in old)</t>
        </is>
      </c>
      <c r="C31" s="8" t="inlineStr">
        <is>
          <t>ProofOfDelivery</t>
        </is>
      </c>
      <c r="D31" s="41" t="inlineStr">
        <is>
          <t>EXISTS</t>
        </is>
      </c>
      <c r="E31" s="8" t="inlineStr">
        <is>
          <t>—</t>
        </is>
      </c>
      <c r="F31" s="8" t="inlineStr">
        <is>
          <t>—</t>
        </is>
      </c>
      <c r="G31" s="8" t="inlineStr">
        <is>
          <t>Model exists in new schema</t>
        </is>
      </c>
      <c r="H31" s="42" t="inlineStr">
        <is>
          <t>☑</t>
        </is>
      </c>
      <c r="I31" s="43" t="inlineStr">
        <is>
          <t>—</t>
        </is>
      </c>
      <c r="J31" s="9" t="inlineStr">
        <is>
          <t>—</t>
        </is>
      </c>
      <c r="K31" s="44" t="inlineStr">
        <is>
          <t>DONE</t>
        </is>
      </c>
    </row>
    <row r="32" ht="23.25" customHeight="1" s="110">
      <c r="A32" s="22" t="inlineStr">
        <is>
          <t>activityLog / history</t>
        </is>
      </c>
      <c r="B32" s="22" t="inlineStr">
        <is>
          <t>histories</t>
        </is>
      </c>
      <c r="C32" s="22" t="inlineStr">
        <is>
          <t>ActivityLog</t>
        </is>
      </c>
      <c r="D32" s="24" t="inlineStr">
        <is>
          <t>EXISTS</t>
        </is>
      </c>
      <c r="E32" s="22" t="inlineStr">
        <is>
          <t>Entire model: entity_type, entity_id, action, actor, changes{}, timestamp, ip_address</t>
        </is>
      </c>
      <c r="F32" s="23" t="inlineStr">
        <is>
          <t>P1</t>
        </is>
      </c>
      <c r="G32" s="22" t="inlineStr">
        <is>
          <t>No audit trail / activity log model</t>
        </is>
      </c>
      <c r="H32" s="25" t="inlineStr">
        <is>
          <t>☑</t>
        </is>
      </c>
      <c r="I32" s="35" t="inlineStr">
        <is>
          <t>AR - Arjun</t>
        </is>
      </c>
      <c r="J32" s="27" t="inlineStr">
        <is>
          <t>Architecture</t>
        </is>
      </c>
      <c r="K32" s="29" t="inlineStr">
        <is>
          <t>DONE</t>
        </is>
      </c>
    </row>
    <row r="33" ht="23.25" customHeight="1" s="110">
      <c r="A33" s="8" t="inlineStr">
        <is>
          <t>tableFilter</t>
        </is>
      </c>
      <c r="B33" s="8" t="inlineStr">
        <is>
          <t>table_filters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Entire model: user_ref, table_name, filters[], sort_config, column_visibility, is_default</t>
        </is>
      </c>
      <c r="F33" s="8" t="inlineStr">
        <is>
          <t>P3</t>
        </is>
      </c>
      <c r="G33" s="8" t="inlineStr">
        <is>
          <t>Sprint 2.7</t>
        </is>
      </c>
      <c r="H33" s="32" t="inlineStr">
        <is>
          <t>☑</t>
        </is>
      </c>
      <c r="I33" s="59" t="inlineStr">
        <is>
          <t>NK - Neha</t>
        </is>
      </c>
      <c r="J33" s="9" t="inlineStr">
        <is>
          <t>Frontend</t>
        </is>
      </c>
      <c r="K33" s="38" t="inlineStr">
        <is>
          <t>NOT STARTED</t>
        </is>
      </c>
    </row>
    <row r="34" ht="15" customHeight="1" s="110">
      <c r="A34" s="4" t="inlineStr">
        <is>
          <t>customMetafield</t>
        </is>
      </c>
      <c r="B34" s="4" t="inlineStr">
        <is>
          <t>custom_metafields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Entire model: entity_type, entity_id, namespace, key, value, type</t>
        </is>
      </c>
      <c r="F34" s="50" t="inlineStr">
        <is>
          <t>P2</t>
        </is>
      </c>
      <c r="G34" s="4" t="inlineStr">
        <is>
          <t>Sprint 2.4 - Metafield + MetafieldDefinition models</t>
        </is>
      </c>
      <c r="H34" s="32" t="inlineStr">
        <is>
          <t>☑</t>
        </is>
      </c>
      <c r="I34" s="33" t="inlineStr">
        <is>
          <t>PK - Priya</t>
        </is>
      </c>
      <c r="J34" s="5" t="inlineStr">
        <is>
          <t>Core Backend</t>
        </is>
      </c>
      <c r="K34" s="34" t="inlineStr">
        <is>
          <t>DONE</t>
        </is>
      </c>
    </row>
    <row r="35" ht="15" customHeight="1" s="110">
      <c r="A35" s="8" t="inlineStr">
        <is>
          <t>widget</t>
        </is>
      </c>
      <c r="B35" s="8" t="inlineStr">
        <is>
          <t>widgets</t>
        </is>
      </c>
      <c r="C35" s="8" t="inlineStr">
        <is>
          <t>—</t>
        </is>
      </c>
      <c r="D35" s="30" t="inlineStr">
        <is>
          <t>EXISTS</t>
        </is>
      </c>
      <c r="E35" s="8" t="inlineStr">
        <is>
          <t>Entire model: type, config, position, styling, isActive, target_pages[]</t>
        </is>
      </c>
      <c r="F35" s="52" t="inlineStr">
        <is>
          <t>P2</t>
        </is>
      </c>
      <c r="G35" s="8" t="inlineStr">
        <is>
          <t>Sprint 2.7</t>
        </is>
      </c>
      <c r="H35" s="32" t="inlineStr">
        <is>
          <t>☑</t>
        </is>
      </c>
      <c r="I35" s="56" t="inlineStr">
        <is>
          <t>RG - Rohan</t>
        </is>
      </c>
      <c r="J35" s="9" t="inlineStr">
        <is>
          <t>Integrations</t>
        </is>
      </c>
      <c r="K35" s="38" t="inlineStr">
        <is>
          <t>NOT STARTED</t>
        </is>
      </c>
    </row>
    <row r="36" ht="23.25" customHeight="1" s="110">
      <c r="A36" s="4" t="inlineStr">
        <is>
          <t>supportTicket</t>
        </is>
      </c>
      <c r="B36" s="4" t="inlineStr">
        <is>
          <t>support_tickets</t>
        </is>
      </c>
      <c r="C36" s="4" t="inlineStr">
        <is>
          <t>—</t>
        </is>
      </c>
      <c r="D36" s="30" t="inlineStr">
        <is>
          <t>EXISTS</t>
        </is>
      </c>
      <c r="E36" s="4" t="inlineStr">
        <is>
          <t>Entire model: subject, description, status, priority, category, assignee, messages[], attachments[]</t>
        </is>
      </c>
      <c r="F36" s="4" t="inlineStr">
        <is>
          <t>P3</t>
        </is>
      </c>
      <c r="G36" s="4" t="inlineStr">
        <is>
          <t>Sprint 2.7</t>
        </is>
      </c>
      <c r="H36" s="32" t="inlineStr">
        <is>
          <t>☑</t>
        </is>
      </c>
      <c r="I36" s="55" t="inlineStr">
        <is>
          <t>RG - Rohan</t>
        </is>
      </c>
      <c r="J36" s="5" t="inlineStr">
        <is>
          <t>Integrations</t>
        </is>
      </c>
      <c r="K36" s="34" t="inlineStr">
        <is>
          <t>NOT STARTED</t>
        </is>
      </c>
    </row>
    <row r="37" ht="15" customHeight="1" s="110">
      <c r="A37" s="8" t="inlineStr">
        <is>
          <t>featureRequest</t>
        </is>
      </c>
      <c r="B37" s="8" t="inlineStr">
        <is>
          <t>feature_requests</t>
        </is>
      </c>
      <c r="C37" s="8" t="inlineStr">
        <is>
          <t>—</t>
        </is>
      </c>
      <c r="D37" s="30" t="inlineStr">
        <is>
          <t>EXISTS</t>
        </is>
      </c>
      <c r="E37" s="8" t="inlineStr">
        <is>
          <t>Entire model: title, description, status, votes, category</t>
        </is>
      </c>
      <c r="F37" s="8" t="inlineStr">
        <is>
          <t>P3</t>
        </is>
      </c>
      <c r="G37" s="8" t="inlineStr">
        <is>
          <t>Sprint 2.7</t>
        </is>
      </c>
      <c r="H37" s="32" t="inlineStr">
        <is>
          <t>☑</t>
        </is>
      </c>
      <c r="I37" s="56" t="inlineStr">
        <is>
          <t>RG - Rohan</t>
        </is>
      </c>
      <c r="J37" s="9" t="inlineStr">
        <is>
          <t>Integrations</t>
        </is>
      </c>
      <c r="K37" s="38" t="inlineStr">
        <is>
          <t>NOT STARTED</t>
        </is>
      </c>
    </row>
    <row r="38" ht="23.25" customHeight="1" s="110">
      <c r="A38" s="4" t="inlineStr">
        <is>
          <t>storeQuota</t>
        </is>
      </c>
      <c r="B38" s="4" t="inlineStr">
        <is>
          <t>store_quotas</t>
        </is>
      </c>
      <c r="C38" s="4" t="inlineStr">
        <is>
          <t>Shop.planTier + billing/index.ts</t>
        </is>
      </c>
      <c r="D38" s="30" t="inlineStr">
        <is>
          <t>EXISTS</t>
        </is>
      </c>
      <c r="E38" s="4" t="inlineStr">
        <is>
          <t>Entire model: plan_ref, orders_limit, shipments_limit, api_calls_limit, storage_limit, current_usage{}</t>
        </is>
      </c>
      <c r="F38" s="54" t="inlineStr">
        <is>
          <t>P1</t>
        </is>
      </c>
      <c r="G38" s="4" t="inlineStr">
        <is>
          <t>Sprint 2.7</t>
        </is>
      </c>
      <c r="H38" s="32" t="inlineStr">
        <is>
          <t>☑</t>
        </is>
      </c>
      <c r="I38" s="55" t="inlineStr">
        <is>
          <t>RG - Rohan</t>
        </is>
      </c>
      <c r="J38" s="5" t="inlineStr">
        <is>
          <t>Integrations</t>
        </is>
      </c>
      <c r="K38" s="34" t="inlineStr">
        <is>
          <t>IN PROGRESS</t>
        </is>
      </c>
    </row>
    <row r="39" ht="15" customHeight="1" s="110">
      <c r="A39" s="8" t="inlineStr">
        <is>
          <t>billingPlan</t>
        </is>
      </c>
      <c r="B39" s="8" t="inlineStr">
        <is>
          <t>billing_plans</t>
        </is>
      </c>
      <c r="C39" s="8" t="inlineStr">
        <is>
          <t>PLANS constant (billing module)</t>
        </is>
      </c>
      <c r="D39" s="30" t="inlineStr">
        <is>
          <t>EXISTS</t>
        </is>
      </c>
      <c r="E39" s="8" t="inlineStr">
        <is>
          <t>Entire model: name, price, interval, features[], limits{}, trial_days, is_active</t>
        </is>
      </c>
      <c r="F39" s="36" t="inlineStr">
        <is>
          <t>P1</t>
        </is>
      </c>
      <c r="G39" s="8" t="inlineStr">
        <is>
          <t>Sprint 2.7</t>
        </is>
      </c>
      <c r="H39" s="32" t="inlineStr">
        <is>
          <t>☑</t>
        </is>
      </c>
      <c r="I39" s="56" t="inlineStr">
        <is>
          <t>RG - Rohan</t>
        </is>
      </c>
      <c r="J39" s="9" t="inlineStr">
        <is>
          <t>Integrations</t>
        </is>
      </c>
      <c r="K39" s="38" t="inlineStr">
        <is>
          <t>IN PROGRESS</t>
        </is>
      </c>
    </row>
    <row r="40" ht="23.25" customHeight="1" s="110">
      <c r="A40" s="4" t="inlineStr">
        <is>
          <t>billingSubscription</t>
        </is>
      </c>
      <c r="B40" s="4" t="inlineStr">
        <is>
          <t>billing_subscriptions</t>
        </is>
      </c>
      <c r="C40" s="4" t="inlineStr">
        <is>
          <t>Shop.planTier + billing routes</t>
        </is>
      </c>
      <c r="D40" s="30" t="inlineStr">
        <is>
          <t>EXISTS</t>
        </is>
      </c>
      <c r="E40" s="4" t="inlineStr">
        <is>
          <t>Entire model: shop_ref, plan_ref, status, current_period_start, current_period_end, cancelled_at, shopify_charge_id</t>
        </is>
      </c>
      <c r="F40" s="54" t="inlineStr">
        <is>
          <t>P1</t>
        </is>
      </c>
      <c r="G40" s="4" t="inlineStr">
        <is>
          <t>Sprint 2.7</t>
        </is>
      </c>
      <c r="H40" s="32" t="inlineStr">
        <is>
          <t>☑</t>
        </is>
      </c>
      <c r="I40" s="55" t="inlineStr">
        <is>
          <t>RG - Rohan</t>
        </is>
      </c>
      <c r="J40" s="5" t="inlineStr">
        <is>
          <t>Integrations</t>
        </is>
      </c>
      <c r="K40" s="34" t="inlineStr">
        <is>
          <t>IN PROGRESS</t>
        </is>
      </c>
    </row>
    <row r="42">
      <c r="A42" s="108" t="inlineStr">
        <is>
          <t>SPRINT 2.8 PLANNED</t>
        </is>
      </c>
    </row>
    <row r="43">
      <c r="A43" t="inlineStr">
        <is>
          <t>authProvider</t>
        </is>
      </c>
      <c r="B43" t="inlineStr">
        <is>
          <t>auth_providers</t>
        </is>
      </c>
      <c r="C43" t="inlineStr">
        <is>
          <t>AuthProvider</t>
        </is>
      </c>
      <c r="D43" t="inlineStr">
        <is>
          <t>PLANNED</t>
        </is>
      </c>
      <c r="E43" t="inlineStr">
        <is>
          <t>provider, type (auth0/clerk/cognito/firebase), config, enabled, tenant_scope</t>
        </is>
      </c>
      <c r="F43" t="inlineStr">
        <is>
          <t>P1</t>
        </is>
      </c>
      <c r="G43" t="inlineStr">
        <is>
          <t>Sprint 2.8 - Auth provider registry</t>
        </is>
      </c>
      <c r="H43" t="inlineStr">
        <is>
          <t>☐</t>
        </is>
      </c>
    </row>
    <row r="44">
      <c r="A44" t="inlineStr">
        <is>
          <t>authSession</t>
        </is>
      </c>
      <c r="B44" t="inlineStr">
        <is>
          <t>auth_sessions</t>
        </is>
      </c>
      <c r="C44" t="inlineStr">
        <is>
          <t>AuthSession</t>
        </is>
      </c>
      <c r="D44" t="inlineStr">
        <is>
          <t>PLANNED</t>
        </is>
      </c>
      <c r="E44" t="inlineStr">
        <is>
          <t>userId, provider, externalId, accessToken, refreshToken, expiresAt, metadata</t>
        </is>
      </c>
      <c r="F44" t="inlineStr">
        <is>
          <t>P1</t>
        </is>
      </c>
      <c r="G44" t="inlineStr">
        <is>
          <t>Sprint 2.8 - External auth sessions</t>
        </is>
      </c>
      <c r="H44" t="inlineStr">
        <is>
          <t>☐</t>
        </is>
      </c>
    </row>
    <row r="45">
      <c r="A45" t="inlineStr">
        <is>
          <t>platformAdmin</t>
        </is>
      </c>
      <c r="B45" t="inlineStr">
        <is>
          <t>platform_admins</t>
        </is>
      </c>
      <c r="C45" t="inlineStr">
        <is>
          <t>PlatformAdmin</t>
        </is>
      </c>
      <c r="D45" t="inlineStr">
        <is>
          <t>PLANNED</t>
        </is>
      </c>
      <c r="E45" t="inlineStr">
        <is>
          <t>email, role (super/admin/support), permissions, lastLogin, mfaEnabled</t>
        </is>
      </c>
      <c r="F45" t="inlineStr">
        <is>
          <t>P1</t>
        </is>
      </c>
      <c r="G45" t="inlineStr">
        <is>
          <t>Sprint 2.8 - Platform admin panel</t>
        </is>
      </c>
      <c r="H45" t="inlineStr">
        <is>
          <t>☐</t>
        </is>
      </c>
    </row>
    <row r="46">
      <c r="A46" t="inlineStr">
        <is>
          <t>posConfig</t>
        </is>
      </c>
      <c r="B46" t="inlineStr">
        <is>
          <t>pos_configs</t>
        </is>
      </c>
      <c r="C46" t="inlineStr">
        <is>
          <t>POSConfig</t>
        </is>
      </c>
      <c r="D46" t="inlineStr">
        <is>
          <t>PLANNED</t>
        </is>
      </c>
      <c r="E46" t="inlineStr">
        <is>
          <t>shopId, formSchema, checkoutRules, shippingProfileRef</t>
        </is>
      </c>
      <c r="F46" t="inlineStr">
        <is>
          <t>P2</t>
        </is>
      </c>
      <c r="G46" t="inlineStr">
        <is>
          <t>Sprint 2.8 - POS integration</t>
        </is>
      </c>
      <c r="H4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>
      <formula1>"☐,☑"</formula1>
      <formula2>0</formula2>
    </dataValidation>
    <dataValidation sqref="I2:I40" showDropDown="0" showInputMessage="0" showErrorMessage="0" allowBlank="1" type="list">
      <formula1>"AR,PK,VS,NK,DM,SP,RG,AM,KS,PAIR,ALL"</formula1>
      <formula2>0</formula2>
    </dataValidation>
    <dataValidation sqref="K2:K40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ACC15"/>
    <outlinePr summaryBelow="1" summaryRight="1"/>
    <pageSetUpPr/>
  </sheetPr>
  <dimension ref="A1:J53"/>
  <sheetViews>
    <sheetView zoomScaleNormal="100" workbookViewId="0">
      <pane ySplit="1" topLeftCell="A21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2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Feature Area</t>
        </is>
      </c>
      <c r="B1" s="1" t="inlineStr">
        <is>
          <t>Old Frontend Page(s)</t>
        </is>
      </c>
      <c r="C1" s="1" t="inlineStr">
        <is>
          <t>New Dashboard Page</t>
        </is>
      </c>
      <c r="D1" s="1" t="inlineStr">
        <is>
          <t>Status</t>
        </is>
      </c>
      <c r="E1" s="1" t="inlineStr">
        <is>
          <t>Missing Capabilities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Dashboard / Home</t>
        </is>
      </c>
      <c r="B2" s="22" t="inlineStr">
        <is>
          <t>home/index.js + fullAnalytics</t>
        </is>
      </c>
      <c r="C2" s="22" t="inlineStr">
        <is>
          <t>/</t>
        </is>
      </c>
      <c r="D2" s="23" t="inlineStr">
        <is>
          <t>EXISTS</t>
        </is>
      </c>
      <c r="E2" s="22" t="inlineStr">
        <is>
          <t>Real-time sync status, data syncing banner, video tutorials, Polaris Viz charts, feature timeline</t>
        </is>
      </c>
      <c r="F2" s="23" t="inlineStr">
        <is>
          <t>P1</t>
        </is>
      </c>
      <c r="G2" s="25" t="inlineStr">
        <is>
          <t>☑</t>
        </is>
      </c>
      <c r="H2" s="60" t="inlineStr">
        <is>
          <t>NK - Neha</t>
        </is>
      </c>
      <c r="I2" s="27" t="inlineStr">
        <is>
          <t>Frontend</t>
        </is>
      </c>
      <c r="J2" s="28" t="inlineStr">
        <is>
          <t>DONE</t>
        </is>
      </c>
    </row>
    <row r="3" ht="23.25" customHeight="1" s="110">
      <c r="A3" s="22" t="inlineStr">
        <is>
          <t>Orders List</t>
        </is>
      </c>
      <c r="B3" s="22" t="inlineStr">
        <is>
          <t>orders/index.js</t>
        </is>
      </c>
      <c r="C3" s="22" t="inlineStr">
        <is>
          <t>/orders + /orders/create + /orders/[id] + /orders/bulk + /orders/import</t>
        </is>
      </c>
      <c r="D3" s="23" t="inlineStr">
        <is>
          <t>EXISTS</t>
        </is>
      </c>
      <c r="E3" s="22" t="inlineStr">
        <is>
          <t>Map view (Leaflet), CSV import modal, bulk actions, advanced filter presets, saved views</t>
        </is>
      </c>
      <c r="F3" s="24" t="inlineStr">
        <is>
          <t>P0</t>
        </is>
      </c>
      <c r="G3" s="25" t="inlineStr">
        <is>
          <t>☑</t>
        </is>
      </c>
      <c r="H3" s="61" t="inlineStr">
        <is>
          <t>DM - Dev</t>
        </is>
      </c>
      <c r="I3" s="27" t="inlineStr">
        <is>
          <t>Frontend</t>
        </is>
      </c>
      <c r="J3" s="29" t="inlineStr">
        <is>
          <t>DONE</t>
        </is>
      </c>
    </row>
    <row r="4" ht="23.25" customHeight="1" s="110">
      <c r="A4" s="22" t="inlineStr">
        <is>
          <t>Order Creation</t>
        </is>
      </c>
      <c r="B4" s="22" t="inlineStr">
        <is>
          <t>create-order/index.js</t>
        </is>
      </c>
      <c r="C4" s="22" t="inlineStr">
        <is>
          <t>/orders/create</t>
        </is>
      </c>
      <c r="D4" s="24" t="inlineStr">
        <is>
          <t>EXISTS</t>
        </is>
      </c>
      <c r="E4" s="22" t="inlineStr">
        <is>
          <t>Manual order creation form: customer details, line items, address, time slot, payment method, notes</t>
        </is>
      </c>
      <c r="F4" s="24" t="inlineStr">
        <is>
          <t>P0</t>
        </is>
      </c>
      <c r="G4" s="25" t="inlineStr">
        <is>
          <t>☑</t>
        </is>
      </c>
      <c r="H4" s="61" t="inlineStr">
        <is>
          <t>DM - Dev</t>
        </is>
      </c>
      <c r="I4" s="27" t="inlineStr">
        <is>
          <t>Frontend</t>
        </is>
      </c>
      <c r="J4" s="29" t="inlineStr">
        <is>
          <t>DONE</t>
        </is>
      </c>
    </row>
    <row r="5" ht="23.25" customHeight="1" s="110">
      <c r="A5" s="22" t="inlineStr">
        <is>
          <t>Order Details</t>
        </is>
      </c>
      <c r="B5" s="22" t="inlineStr">
        <is>
          <t>order-details/[...slug].js</t>
        </is>
      </c>
      <c r="C5" s="22" t="inlineStr">
        <is>
          <t>/orders/[id]</t>
        </is>
      </c>
      <c r="D5" s="23" t="inlineStr">
        <is>
          <t>EXISTS</t>
        </is>
      </c>
      <c r="E5" s="22" t="inlineStr">
        <is>
          <t>Full page view, shipment-in-order view, price breakdown, order tags editor, fulfillment actions, refund actions</t>
        </is>
      </c>
      <c r="F5" s="24" t="inlineStr">
        <is>
          <t>P0</t>
        </is>
      </c>
      <c r="G5" s="25" t="inlineStr">
        <is>
          <t>☑</t>
        </is>
      </c>
      <c r="H5" s="61" t="inlineStr">
        <is>
          <t>DM - Dev</t>
        </is>
      </c>
      <c r="I5" s="27" t="inlineStr">
        <is>
          <t>Frontend</t>
        </is>
      </c>
      <c r="J5" s="29" t="inlineStr">
        <is>
          <t>DONE</t>
        </is>
      </c>
    </row>
    <row r="6" ht="34.5" customHeight="1" s="110">
      <c r="A6" s="22" t="inlineStr">
        <is>
          <t>Shipments List</t>
        </is>
      </c>
      <c r="B6" s="22" t="inlineStr">
        <is>
          <t>shipments/index.js + local-delivery/shipments + store-pickup/shipments + standard-delivery/shipments</t>
        </is>
      </c>
      <c r="C6" s="22" t="inlineStr">
        <is>
          <t>/shipments</t>
        </is>
      </c>
      <c r="D6" s="24" t="inlineStr">
        <is>
          <t>EXISTS</t>
        </is>
      </c>
      <c r="E6" s="22" t="inlineStr">
        <is>
          <t>Entire shipment management: list, filters, map view, status tracking, bulk operations, multi-delivery-method views</t>
        </is>
      </c>
      <c r="F6" s="24" t="inlineStr">
        <is>
          <t>P0</t>
        </is>
      </c>
      <c r="G6" s="25" t="inlineStr">
        <is>
          <t>☑</t>
        </is>
      </c>
      <c r="H6" s="61" t="inlineStr">
        <is>
          <t>DM - Dev</t>
        </is>
      </c>
      <c r="I6" s="27" t="inlineStr">
        <is>
          <t>Frontend</t>
        </is>
      </c>
      <c r="J6" s="29" t="inlineStr">
        <is>
          <t>DONE</t>
        </is>
      </c>
    </row>
    <row r="7" ht="23.25" customHeight="1" s="110">
      <c r="A7" s="8" t="inlineStr">
        <is>
          <t>Shipment Details</t>
        </is>
      </c>
      <c r="B7" s="8" t="inlineStr">
        <is>
          <t>shipment-details/index.js + variants</t>
        </is>
      </c>
      <c r="C7" s="8" t="inlineStr">
        <is>
          <t>—</t>
        </is>
      </c>
      <c r="D7" s="30" t="inlineStr">
        <is>
          <t>EXISTS</t>
        </is>
      </c>
      <c r="E7" s="8" t="inlineStr">
        <is>
          <t>Full shipment detail: items, price breakdown, documents/POD, tracking notes, SMS confirmation, payment transactions, more actions | Sprint 2.4 - Shipment detail page</t>
        </is>
      </c>
      <c r="F7" s="47" t="inlineStr">
        <is>
          <t>P0</t>
        </is>
      </c>
      <c r="G7" s="32" t="inlineStr">
        <is>
          <t>☑</t>
        </is>
      </c>
      <c r="H7" s="62" t="inlineStr">
        <is>
          <t>DM - Dev</t>
        </is>
      </c>
      <c r="I7" s="9" t="inlineStr">
        <is>
          <t>Frontend</t>
        </is>
      </c>
      <c r="J7" s="38" t="inlineStr">
        <is>
          <t>DONE</t>
        </is>
      </c>
    </row>
    <row r="8" ht="15" customHeight="1" s="110">
      <c r="A8" s="4" t="inlineStr">
        <is>
          <t>Local Delivery Orders</t>
        </is>
      </c>
      <c r="B8" s="4" t="inlineStr">
        <is>
          <t>local-delivery/orders/index.js</t>
        </is>
      </c>
      <c r="C8" s="4" t="inlineStr">
        <is>
          <t>/orders/local</t>
        </is>
      </c>
      <c r="D8" s="30" t="inlineStr">
        <is>
          <t>EXISTS</t>
        </is>
      </c>
      <c r="E8" s="4" t="inlineStr">
        <is>
          <t>Delivery-method-specific order views with method-specific filters and actions</t>
        </is>
      </c>
      <c r="F8" s="54" t="inlineStr">
        <is>
          <t>P1</t>
        </is>
      </c>
      <c r="G8" s="32" t="inlineStr">
        <is>
          <t>☑</t>
        </is>
      </c>
      <c r="H8" s="63" t="inlineStr">
        <is>
          <t>DM - Dev</t>
        </is>
      </c>
      <c r="I8" s="5" t="inlineStr">
        <is>
          <t>Frontend</t>
        </is>
      </c>
      <c r="J8" s="46" t="inlineStr">
        <is>
          <t>DONE</t>
        </is>
      </c>
    </row>
    <row r="9" ht="15" customHeight="1" s="110">
      <c r="A9" s="8" t="inlineStr">
        <is>
          <t>Store Pickup</t>
        </is>
      </c>
      <c r="B9" s="8" t="inlineStr">
        <is>
          <t>store-pickup/* (4 pages)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Store pickup workflow: orders, shipments, details, ready-for-pickup actions | Sprint 2.4 - Multi-store management</t>
        </is>
      </c>
      <c r="F9" s="36" t="inlineStr">
        <is>
          <t>P1</t>
        </is>
      </c>
      <c r="G9" s="32" t="inlineStr">
        <is>
          <t>☑</t>
        </is>
      </c>
      <c r="H9" s="62" t="inlineStr">
        <is>
          <t>DM - Dev</t>
        </is>
      </c>
      <c r="I9" s="9" t="inlineStr">
        <is>
          <t>Frontend</t>
        </is>
      </c>
      <c r="J9" s="38" t="inlineStr">
        <is>
          <t>DONE</t>
        </is>
      </c>
    </row>
    <row r="10" ht="15" customHeight="1" s="110">
      <c r="A10" s="4" t="inlineStr">
        <is>
          <t>Standard Delivery</t>
        </is>
      </c>
      <c r="B10" s="4" t="inlineStr">
        <is>
          <t>standard-delivery/* (4 pages)</t>
        </is>
      </c>
      <c r="C10" s="4" t="inlineStr">
        <is>
          <t>—</t>
        </is>
      </c>
      <c r="D10" s="30" t="inlineStr">
        <is>
          <t>MISSING</t>
        </is>
      </c>
      <c r="E10" s="4" t="inlineStr">
        <is>
          <t>Standard shipping workflow: orders, shipments, details, carrier assignment</t>
        </is>
      </c>
      <c r="F10" s="54" t="inlineStr">
        <is>
          <t>P1</t>
        </is>
      </c>
      <c r="G10" s="32" t="inlineStr">
        <is>
          <t>☐</t>
        </is>
      </c>
      <c r="H10" s="63" t="inlineStr">
        <is>
          <t>DM - Dev</t>
        </is>
      </c>
      <c r="I10" s="5" t="inlineStr">
        <is>
          <t>Frontend</t>
        </is>
      </c>
      <c r="J10" s="34" t="inlineStr">
        <is>
          <t>NOT STARTED</t>
        </is>
      </c>
    </row>
    <row r="11" ht="23.25" customHeight="1" s="110">
      <c r="A11" s="22" t="inlineStr">
        <is>
          <t>Routes List</t>
        </is>
      </c>
      <c r="B11" s="22" t="inlineStr">
        <is>
          <t>local-delivery/routes/index.js + routes/index.js</t>
        </is>
      </c>
      <c r="C11" s="22" t="inlineStr">
        <is>
          <t>/routes + /routes/create + /routes/[id] + /routes/[id]/edit</t>
        </is>
      </c>
      <c r="D11" s="23" t="inlineStr">
        <is>
          <t>EXISTS</t>
        </is>
      </c>
      <c r="E11" s="22" t="inlineStr">
        <is>
          <t>Route table pagination, search, timeline view, shipping label printing (4x6), CSV export, route claiming</t>
        </is>
      </c>
      <c r="F11" s="24" t="inlineStr">
        <is>
          <t>P0</t>
        </is>
      </c>
      <c r="G11" s="25" t="inlineStr">
        <is>
          <t>☑</t>
        </is>
      </c>
      <c r="H11" s="60" t="inlineStr">
        <is>
          <t>NK - Neha</t>
        </is>
      </c>
      <c r="I11" s="27" t="inlineStr">
        <is>
          <t>Frontend</t>
        </is>
      </c>
      <c r="J11" s="28" t="inlineStr">
        <is>
          <t>DONE</t>
        </is>
      </c>
    </row>
    <row r="12" ht="23.25" customHeight="1" s="110">
      <c r="A12" s="22" t="inlineStr">
        <is>
          <t>Route Create</t>
        </is>
      </c>
      <c r="B12" s="22" t="inlineStr">
        <is>
          <t>routes/create/index.js</t>
        </is>
      </c>
      <c r="C12" s="22" t="inlineStr">
        <is>
          <t>/routes/create</t>
        </is>
      </c>
      <c r="D12" s="24" t="inlineStr">
        <is>
          <t>EXISTS</t>
        </is>
      </c>
      <c r="E12" s="22" t="inlineStr">
        <is>
          <t>Route creation wizard: select shipments, assign driver, set start/end location, drag-and-drop ordering, map preview</t>
        </is>
      </c>
      <c r="F12" s="24" t="inlineStr">
        <is>
          <t>P0</t>
        </is>
      </c>
      <c r="G12" s="25" t="inlineStr">
        <is>
          <t>☑</t>
        </is>
      </c>
      <c r="H12" s="61" t="inlineStr">
        <is>
          <t>DM - Dev</t>
        </is>
      </c>
      <c r="I12" s="27" t="inlineStr">
        <is>
          <t>Frontend</t>
        </is>
      </c>
      <c r="J12" s="29" t="inlineStr">
        <is>
          <t>DONE</t>
        </is>
      </c>
    </row>
    <row r="13" ht="23.25" customHeight="1" s="110">
      <c r="A13" s="22" t="inlineStr">
        <is>
          <t>Route Edit</t>
        </is>
      </c>
      <c r="B13" s="22" t="inlineStr">
        <is>
          <t>routes/edit/index.js</t>
        </is>
      </c>
      <c r="C13" s="22" t="inlineStr">
        <is>
          <t>/routes/[id]/edit</t>
        </is>
      </c>
      <c r="D13" s="24" t="inlineStr">
        <is>
          <t>EXISTS</t>
        </is>
      </c>
      <c r="E13" s="22" t="inlineStr">
        <is>
          <t>Route editing: reorder stops, add/remove shipments, re-optimize, map directions view</t>
        </is>
      </c>
      <c r="F13" s="24" t="inlineStr">
        <is>
          <t>P0</t>
        </is>
      </c>
      <c r="G13" s="25" t="inlineStr">
        <is>
          <t>☑</t>
        </is>
      </c>
      <c r="H13" s="61" t="inlineStr">
        <is>
          <t>DM - Dev</t>
        </is>
      </c>
      <c r="I13" s="27" t="inlineStr">
        <is>
          <t>Frontend</t>
        </is>
      </c>
      <c r="J13" s="29" t="inlineStr">
        <is>
          <t>DONE</t>
        </is>
      </c>
    </row>
    <row r="14" ht="15" customHeight="1" s="110">
      <c r="A14" s="4" t="inlineStr">
        <is>
          <t>Add to Route</t>
        </is>
      </c>
      <c r="B14" s="4" t="inlineStr">
        <is>
          <t>routes/add-to-route/index.js</t>
        </is>
      </c>
      <c r="C14" s="4" t="inlineStr">
        <is>
          <t>/routes/[id]/assign</t>
        </is>
      </c>
      <c r="D14" s="30" t="inlineStr">
        <is>
          <t>EXISTS</t>
        </is>
      </c>
      <c r="E14" s="4" t="inlineStr">
        <is>
          <t>Shipment-to-route assignment flow</t>
        </is>
      </c>
      <c r="F14" s="54" t="inlineStr">
        <is>
          <t>P1</t>
        </is>
      </c>
      <c r="G14" s="32" t="inlineStr">
        <is>
          <t>☑</t>
        </is>
      </c>
      <c r="H14" s="63" t="inlineStr">
        <is>
          <t>DM - Dev</t>
        </is>
      </c>
      <c r="I14" s="5" t="inlineStr">
        <is>
          <t>Frontend</t>
        </is>
      </c>
      <c r="J14" s="46" t="inlineStr">
        <is>
          <t>DONE</t>
        </is>
      </c>
    </row>
    <row r="15" ht="23.25" customHeight="1" s="110">
      <c r="A15" s="22" t="inlineStr">
        <is>
          <t>Drivers</t>
        </is>
      </c>
      <c r="B15" s="22" t="inlineStr">
        <is>
          <t>— (managed via users)</t>
        </is>
      </c>
      <c r="C15" s="22" t="inlineStr">
        <is>
          <t>/drivers</t>
        </is>
      </c>
      <c r="D15" s="23" t="inlineStr">
        <is>
          <t>EXISTS</t>
        </is>
      </c>
      <c r="E15" s="22" t="inlineStr">
        <is>
          <t>Driver detail view, assignment history, performance stats, document uploads, FCM token management</t>
        </is>
      </c>
      <c r="F15" s="23" t="inlineStr">
        <is>
          <t>P1</t>
        </is>
      </c>
      <c r="G15" s="25" t="inlineStr">
        <is>
          <t>☑</t>
        </is>
      </c>
      <c r="H15" s="60" t="inlineStr">
        <is>
          <t>NK - Neha</t>
        </is>
      </c>
      <c r="I15" s="27" t="inlineStr">
        <is>
          <t>Frontend</t>
        </is>
      </c>
      <c r="J15" s="28" t="inlineStr">
        <is>
          <t>DONE</t>
        </is>
      </c>
    </row>
    <row r="16" ht="23.25" customHeight="1" s="110">
      <c r="A16" s="22" t="inlineStr">
        <is>
          <t>Delivery Zones</t>
        </is>
      </c>
      <c r="B16" s="22" t="inlineStr">
        <is>
          <t>zones/index.js + zones/create</t>
        </is>
      </c>
      <c r="C16" s="22" t="inlineStr">
        <is>
          <t>/zones</t>
        </is>
      </c>
      <c r="D16" s="23" t="inlineStr">
        <is>
          <t>EXISTS</t>
        </is>
      </c>
      <c r="E16" s="22" t="inlineStr">
        <is>
          <t>Zone map drawing (Leaflet Draw), polygon boundary editing, zone-to-location association</t>
        </is>
      </c>
      <c r="F16" s="24" t="inlineStr">
        <is>
          <t>P0</t>
        </is>
      </c>
      <c r="G16" s="25" t="inlineStr">
        <is>
          <t>☑</t>
        </is>
      </c>
      <c r="H16" s="61" t="inlineStr">
        <is>
          <t>DM - Dev</t>
        </is>
      </c>
      <c r="I16" s="27" t="inlineStr">
        <is>
          <t>Frontend</t>
        </is>
      </c>
      <c r="J16" s="29" t="inlineStr">
        <is>
          <t>DONE</t>
        </is>
      </c>
    </row>
    <row r="17" ht="23.25" customHeight="1" s="110">
      <c r="A17" s="22" t="inlineStr">
        <is>
          <t>Time Slots</t>
        </is>
      </c>
      <c r="B17" s="22" t="inlineStr">
        <is>
          <t>— (part of shipping profile)</t>
        </is>
      </c>
      <c r="C17" s="22" t="inlineStr">
        <is>
          <t>/time-slots</t>
        </is>
      </c>
      <c r="D17" s="23" t="inlineStr">
        <is>
          <t>EXISTS</t>
        </is>
      </c>
      <c r="E17" s="22" t="inlineStr">
        <is>
          <t>Capacity usage tracking, zone-specific slots, calendar visualization, cutoff time rules</t>
        </is>
      </c>
      <c r="F17" s="23" t="inlineStr">
        <is>
          <t>P1</t>
        </is>
      </c>
      <c r="G17" s="25" t="inlineStr">
        <is>
          <t>☑</t>
        </is>
      </c>
      <c r="H17" s="60" t="inlineStr">
        <is>
          <t>NK - Neha</t>
        </is>
      </c>
      <c r="I17" s="27" t="inlineStr">
        <is>
          <t>Frontend</t>
        </is>
      </c>
      <c r="J17" s="28" t="inlineStr">
        <is>
          <t>DONE</t>
        </is>
      </c>
    </row>
    <row r="18" ht="23.25" customHeight="1" s="110">
      <c r="A18" s="22" t="inlineStr">
        <is>
          <t>Locations</t>
        </is>
      </c>
      <c r="B18" s="22" t="inlineStr">
        <is>
          <t>locations/index.js + create + edit</t>
        </is>
      </c>
      <c r="C18" s="22" t="inlineStr">
        <is>
          <t>/locations</t>
        </is>
      </c>
      <c r="D18" s="24" t="inlineStr">
        <is>
          <t>EXISTS</t>
        </is>
      </c>
      <c r="E18" s="22" t="inlineStr">
        <is>
          <t>Full location management: create/edit/list, working hours, pickup rules, delivery rules, map pin, zone association</t>
        </is>
      </c>
      <c r="F18" s="24" t="inlineStr">
        <is>
          <t>P0</t>
        </is>
      </c>
      <c r="G18" s="25" t="inlineStr">
        <is>
          <t>☑</t>
        </is>
      </c>
      <c r="H18" s="61" t="inlineStr">
        <is>
          <t>DM - Dev</t>
        </is>
      </c>
      <c r="I18" s="27" t="inlineStr">
        <is>
          <t>Frontend</t>
        </is>
      </c>
      <c r="J18" s="29" t="inlineStr">
        <is>
          <t>DONE</t>
        </is>
      </c>
    </row>
    <row r="19" ht="23.25" customHeight="1" s="110">
      <c r="A19" s="8" t="inlineStr">
        <is>
          <t>Shipping Profile</t>
        </is>
      </c>
      <c r="B19" s="8" t="inlineStr">
        <is>
          <t>shipping-profile/index.js + general-profile + edit</t>
        </is>
      </c>
      <c r="C19" s="8" t="inlineStr">
        <is>
          <t>/shipping-profiles + /shipping-profiles/[id]</t>
        </is>
      </c>
      <c r="D19" s="30" t="inlineStr">
        <is>
          <t>EXISTS</t>
        </is>
      </c>
      <c r="E19" s="8" t="inlineStr">
        <is>
          <t>Shipping profile system: rate configuration, location attachment, calendar profiles, delivery method rules</t>
        </is>
      </c>
      <c r="F19" s="47" t="inlineStr">
        <is>
          <t>P0</t>
        </is>
      </c>
      <c r="G19" s="32" t="inlineStr">
        <is>
          <t>☑</t>
        </is>
      </c>
      <c r="H19" s="62" t="inlineStr">
        <is>
          <t>DM - Dev</t>
        </is>
      </c>
      <c r="I19" s="9" t="inlineStr">
        <is>
          <t>Frontend</t>
        </is>
      </c>
      <c r="J19" s="46" t="inlineStr">
        <is>
          <t>DONE</t>
        </is>
      </c>
    </row>
    <row r="20" ht="23.25" customHeight="1" s="110">
      <c r="A20" s="22" t="inlineStr">
        <is>
          <t>Settings</t>
        </is>
      </c>
      <c r="B20" s="22" t="inlineStr">
        <is>
          <t>settings/index.js (8+ tabs)</t>
        </is>
      </c>
      <c r="C20" s="22" t="inlineStr">
        <is>
          <t>/settings (hub + 6 sub-pages)</t>
        </is>
      </c>
      <c r="D20" s="23" t="inlineStr">
        <is>
          <t>EXISTS</t>
        </is>
      </c>
      <c r="E20" s="22" t="inlineStr">
        <is>
          <t>Missing tabs: Inventory, Shopify sync, Webhook config, API keys, POS config, Mobile app config</t>
        </is>
      </c>
      <c r="F20" s="23" t="inlineStr">
        <is>
          <t>P1</t>
        </is>
      </c>
      <c r="G20" s="25" t="inlineStr">
        <is>
          <t>☑</t>
        </is>
      </c>
      <c r="H20" s="60" t="inlineStr">
        <is>
          <t>NK - Neha</t>
        </is>
      </c>
      <c r="I20" s="27" t="inlineStr">
        <is>
          <t>Frontend</t>
        </is>
      </c>
      <c r="J20" s="28" t="inlineStr">
        <is>
          <t>DONE</t>
        </is>
      </c>
    </row>
    <row r="21" ht="23.25" customHeight="1" s="110">
      <c r="A21" s="22" t="inlineStr">
        <is>
          <t>Notifications Config</t>
        </is>
      </c>
      <c r="B21" s="22" t="inlineStr">
        <is>
          <t>notifications/index.js</t>
        </is>
      </c>
      <c r="C21" s="22" t="inlineStr">
        <is>
          <t>/settings/notifications-config</t>
        </is>
      </c>
      <c r="D21" s="23" t="inlineStr">
        <is>
          <t>EXISTS</t>
        </is>
      </c>
      <c r="E21" s="22" t="inlineStr">
        <is>
          <t>Missing: Email template editor (Unlayer), WhatsApp template management, SMS provider config, per-event configuration</t>
        </is>
      </c>
      <c r="F21" s="24" t="inlineStr">
        <is>
          <t>P0</t>
        </is>
      </c>
      <c r="G21" s="25" t="inlineStr">
        <is>
          <t>☑</t>
        </is>
      </c>
      <c r="H21" s="40" t="inlineStr">
        <is>
          <t>SP - Sanya</t>
        </is>
      </c>
      <c r="I21" s="27" t="inlineStr">
        <is>
          <t>Integrations</t>
        </is>
      </c>
      <c r="J21" s="29" t="inlineStr">
        <is>
          <t>DONE</t>
        </is>
      </c>
    </row>
    <row r="22" ht="23.25" customHeight="1" s="110">
      <c r="A22" s="22" t="inlineStr">
        <is>
          <t>Integrations</t>
        </is>
      </c>
      <c r="B22" s="22" t="inlineStr">
        <is>
          <t>— (keys-configuration)</t>
        </is>
      </c>
      <c r="C22" s="22" t="inlineStr">
        <is>
          <t>/integrations</t>
        </is>
      </c>
      <c r="D22" s="23" t="inlineStr">
        <is>
          <t>EXISTS</t>
        </is>
      </c>
      <c r="E22" s="22" t="inlineStr">
        <is>
          <t>Missing: Provider credential forms, OAuth flows, health monitoring, usage metering display</t>
        </is>
      </c>
      <c r="F22" s="23" t="inlineStr">
        <is>
          <t>P1</t>
        </is>
      </c>
      <c r="G22" s="25" t="inlineStr">
        <is>
          <t>☑</t>
        </is>
      </c>
      <c r="H22" s="40" t="inlineStr">
        <is>
          <t>SP - Sanya</t>
        </is>
      </c>
      <c r="I22" s="27" t="inlineStr">
        <is>
          <t>Integrations</t>
        </is>
      </c>
      <c r="J22" s="29" t="inlineStr">
        <is>
          <t>DONE</t>
        </is>
      </c>
    </row>
    <row r="23" ht="23.25" customHeight="1" s="110">
      <c r="A23" s="22" t="inlineStr">
        <is>
          <t>Analytics</t>
        </is>
      </c>
      <c r="B23" s="22" t="inlineStr">
        <is>
          <t>home/fullAnalytics.js</t>
        </is>
      </c>
      <c r="C23" s="22" t="inlineStr">
        <is>
          <t>/analytics</t>
        </is>
      </c>
      <c r="D23" s="23" t="inlineStr">
        <is>
          <t>EXISTS</t>
        </is>
      </c>
      <c r="E23" s="22" t="inlineStr">
        <is>
          <t>Missing: Date range picker, order/shipment/inventory breakdown, sync status, Polaris Viz charts, export to CSV</t>
        </is>
      </c>
      <c r="F23" s="23" t="inlineStr">
        <is>
          <t>P1</t>
        </is>
      </c>
      <c r="G23" s="25" t="inlineStr">
        <is>
          <t>☑</t>
        </is>
      </c>
      <c r="H23" s="60" t="inlineStr">
        <is>
          <t>NK - Neha</t>
        </is>
      </c>
      <c r="I23" s="27" t="inlineStr">
        <is>
          <t>Frontend</t>
        </is>
      </c>
      <c r="J23" s="28" t="inlineStr">
        <is>
          <t>DONE</t>
        </is>
      </c>
    </row>
    <row r="24" ht="15" customHeight="1" s="110">
      <c r="A24" s="22" t="inlineStr">
        <is>
          <t>User Management</t>
        </is>
      </c>
      <c r="B24" s="22" t="inlineStr">
        <is>
          <t>users/index.js</t>
        </is>
      </c>
      <c r="C24" s="22" t="inlineStr">
        <is>
          <t>/settings/team</t>
        </is>
      </c>
      <c r="D24" s="23" t="inlineStr">
        <is>
          <t>EXISTS</t>
        </is>
      </c>
      <c r="E24" s="22" t="inlineStr">
        <is>
          <t>Missing: Invite flow, role assignment, permission matrix, activity log per user</t>
        </is>
      </c>
      <c r="F24" s="23" t="inlineStr">
        <is>
          <t>P1</t>
        </is>
      </c>
      <c r="G24" s="25" t="inlineStr">
        <is>
          <t>☑</t>
        </is>
      </c>
      <c r="H24" s="60" t="inlineStr">
        <is>
          <t>NK - Neha</t>
        </is>
      </c>
      <c r="I24" s="27" t="inlineStr">
        <is>
          <t>Frontend</t>
        </is>
      </c>
      <c r="J24" s="29" t="inlineStr">
        <is>
          <t>DONE</t>
        </is>
      </c>
    </row>
    <row r="25" ht="23.25" customHeight="1" s="110">
      <c r="A25" s="22" t="inlineStr">
        <is>
          <t>Profile</t>
        </is>
      </c>
      <c r="B25" s="22" t="inlineStr">
        <is>
          <t>profile/index.js</t>
        </is>
      </c>
      <c r="C25" s="22" t="inlineStr">
        <is>
          <t>/profile</t>
        </is>
      </c>
      <c r="D25" s="24" t="inlineStr">
        <is>
          <t>EXISTS</t>
        </is>
      </c>
      <c r="E25" s="22" t="inlineStr">
        <is>
          <t>User profile: avatar, personal info, password change, notification preferences, timezone, language</t>
        </is>
      </c>
      <c r="F25" s="39" t="inlineStr">
        <is>
          <t>P2</t>
        </is>
      </c>
      <c r="G25" s="25" t="inlineStr">
        <is>
          <t>☑</t>
        </is>
      </c>
      <c r="H25" s="60" t="inlineStr">
        <is>
          <t>NK - Neha</t>
        </is>
      </c>
      <c r="I25" s="27" t="inlineStr">
        <is>
          <t>Frontend</t>
        </is>
      </c>
      <c r="J25" s="29" t="inlineStr">
        <is>
          <t>DONE</t>
        </is>
      </c>
    </row>
    <row r="26" ht="15" customHeight="1" s="110">
      <c r="A26" s="22" t="inlineStr">
        <is>
          <t>Login / Auth</t>
        </is>
      </c>
      <c r="B26" s="22" t="inlineStr">
        <is>
          <t>login.js + join.js + reset-password.js</t>
        </is>
      </c>
      <c r="C26" s="22" t="inlineStr">
        <is>
          <t>/(auth)/login + register + forgot-password</t>
        </is>
      </c>
      <c r="D26" s="24" t="inlineStr">
        <is>
          <t>EXISTS</t>
        </is>
      </c>
      <c r="E26" s="22" t="inlineStr">
        <is>
          <t>Authentication pages: login, registration, password reset, email verification</t>
        </is>
      </c>
      <c r="F26" s="24" t="inlineStr">
        <is>
          <t>P0</t>
        </is>
      </c>
      <c r="G26" s="25" t="inlineStr">
        <is>
          <t>☑</t>
        </is>
      </c>
      <c r="H26" s="60" t="inlineStr">
        <is>
          <t>NK - Neha</t>
        </is>
      </c>
      <c r="I26" s="27" t="inlineStr">
        <is>
          <t>Frontend</t>
        </is>
      </c>
      <c r="J26" s="29" t="inlineStr">
        <is>
          <t>DONE</t>
        </is>
      </c>
    </row>
    <row r="27" ht="23.25" customHeight="1" s="110">
      <c r="A27" s="22" t="inlineStr">
        <is>
          <t>Onboarding</t>
        </is>
      </c>
      <c r="B27" s="22" t="inlineStr">
        <is>
          <t>onboarding/* (5 pages)</t>
        </is>
      </c>
      <c r="C27" s="22" t="inlineStr">
        <is>
          <t>/onboarding</t>
        </is>
      </c>
      <c r="D27" s="24" t="inlineStr">
        <is>
          <t>EXISTS</t>
        </is>
      </c>
      <c r="E27" s="22" t="inlineStr">
        <is>
          <t>Multi-step onboarding: cart plugin setup, shipping location, plan selection, fleet info, working hours</t>
        </is>
      </c>
      <c r="F27" s="23" t="inlineStr">
        <is>
          <t>P1</t>
        </is>
      </c>
      <c r="G27" s="25" t="inlineStr">
        <is>
          <t>☑</t>
        </is>
      </c>
      <c r="H27" s="60" t="inlineStr">
        <is>
          <t>NK - Neha</t>
        </is>
      </c>
      <c r="I27" s="27" t="inlineStr">
        <is>
          <t>Frontend</t>
        </is>
      </c>
      <c r="J27" s="29" t="inlineStr">
        <is>
          <t>DONE</t>
        </is>
      </c>
    </row>
    <row r="28" ht="15" customHeight="1" s="110">
      <c r="A28" s="22" t="inlineStr">
        <is>
          <t>Plans / Billing</t>
        </is>
      </c>
      <c r="B28" s="22" t="inlineStr">
        <is>
          <t>plans/index.js</t>
        </is>
      </c>
      <c r="C28" s="22" t="inlineStr">
        <is>
          <t>/settings/billing</t>
        </is>
      </c>
      <c r="D28" s="24" t="inlineStr">
        <is>
          <t>EXISTS</t>
        </is>
      </c>
      <c r="E28" s="22" t="inlineStr">
        <is>
          <t>Plan display, upgrade/downgrade flow, usage meters, invoice history</t>
        </is>
      </c>
      <c r="F28" s="23" t="inlineStr">
        <is>
          <t>P1</t>
        </is>
      </c>
      <c r="G28" s="25" t="inlineStr">
        <is>
          <t>☑</t>
        </is>
      </c>
      <c r="H28" s="57" t="inlineStr">
        <is>
          <t>RG - Rohan</t>
        </is>
      </c>
      <c r="I28" s="27" t="inlineStr">
        <is>
          <t>Integrations</t>
        </is>
      </c>
      <c r="J28" s="29" t="inlineStr">
        <is>
          <t>DONE</t>
        </is>
      </c>
    </row>
    <row r="29" ht="15" customHeight="1" s="110">
      <c r="A29" s="22" t="inlineStr">
        <is>
          <t>Payment Transactions</t>
        </is>
      </c>
      <c r="B29" s="22" t="inlineStr">
        <is>
          <t>payment-transactions/index.js</t>
        </is>
      </c>
      <c r="C29" s="22" t="inlineStr">
        <is>
          <t>/payments</t>
        </is>
      </c>
      <c r="D29" s="24" t="inlineStr">
        <is>
          <t>EXISTS</t>
        </is>
      </c>
      <c r="E29" s="22" t="inlineStr">
        <is>
          <t>Transaction history, COD reconciliation, refund tracking</t>
        </is>
      </c>
      <c r="F29" s="39" t="inlineStr">
        <is>
          <t>P2</t>
        </is>
      </c>
      <c r="G29" s="25" t="inlineStr">
        <is>
          <t>☑</t>
        </is>
      </c>
      <c r="H29" s="57" t="inlineStr">
        <is>
          <t>RG - Rohan</t>
        </is>
      </c>
      <c r="I29" s="27" t="inlineStr">
        <is>
          <t>Integrations</t>
        </is>
      </c>
      <c r="J29" s="29" t="inlineStr">
        <is>
          <t>DONE</t>
        </is>
      </c>
    </row>
    <row r="30" ht="15" customHeight="1" s="110">
      <c r="A30" s="4" t="inlineStr">
        <is>
          <t>Tracking Config</t>
        </is>
      </c>
      <c r="B30" s="4" t="inlineStr">
        <is>
          <t>tracking/index.js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Customer tracking page builder: branding, layout, status messages | Sprint 2.4 - Tracking page config</t>
        </is>
      </c>
      <c r="F30" s="50" t="inlineStr">
        <is>
          <t>P2</t>
        </is>
      </c>
      <c r="G30" s="32" t="inlineStr">
        <is>
          <t>☑</t>
        </is>
      </c>
      <c r="H30" s="55" t="inlineStr">
        <is>
          <t>RG - Rohan</t>
        </is>
      </c>
      <c r="I30" s="5" t="inlineStr">
        <is>
          <t>Integrations</t>
        </is>
      </c>
      <c r="J30" s="34" t="inlineStr">
        <is>
          <t>DONE</t>
        </is>
      </c>
    </row>
    <row r="31" ht="15" customHeight="1" s="110">
      <c r="A31" s="8" t="inlineStr">
        <is>
          <t>Mobile App Config</t>
        </is>
      </c>
      <c r="B31" s="8" t="inlineStr">
        <is>
          <t>mobile-apps/index.js</t>
        </is>
      </c>
      <c r="C31" s="8" t="inlineStr">
        <is>
          <t>—</t>
        </is>
      </c>
      <c r="D31" s="30" t="inlineStr">
        <is>
          <t>EXISTS</t>
        </is>
      </c>
      <c r="E31" s="8" t="inlineStr">
        <is>
          <t>Driver app settings: branding, feature toggles, notification config</t>
        </is>
      </c>
      <c r="F31" s="52" t="inlineStr">
        <is>
          <t>Sprint 2.7</t>
        </is>
      </c>
      <c r="G31" s="32" t="inlineStr">
        <is>
          <t>☑</t>
        </is>
      </c>
      <c r="H31" s="62" t="inlineStr">
        <is>
          <t>DM - Dev</t>
        </is>
      </c>
      <c r="I31" s="9" t="inlineStr">
        <is>
          <t>Frontend</t>
        </is>
      </c>
      <c r="J31" s="38" t="inlineStr">
        <is>
          <t>NOT STARTED</t>
        </is>
      </c>
    </row>
    <row r="32" ht="15" customHeight="1" s="110">
      <c r="A32" s="4" t="inlineStr">
        <is>
          <t>Theme / Widget Config</t>
        </is>
      </c>
      <c r="B32" s="4" t="inlineStr">
        <is>
          <t>theme-configuration/index.js</t>
        </is>
      </c>
      <c r="C32" s="4" t="inlineStr">
        <is>
          <t>—</t>
        </is>
      </c>
      <c r="D32" s="30" t="inlineStr">
        <is>
          <t>EXISTS</t>
        </is>
      </c>
      <c r="E32" s="4" t="inlineStr">
        <is>
          <t>Checkout widget customizer: colors, layout, display rules | Sprint 2.4 - Widget/theme config</t>
        </is>
      </c>
      <c r="F32" s="50" t="inlineStr">
        <is>
          <t>P2</t>
        </is>
      </c>
      <c r="G32" s="32" t="inlineStr">
        <is>
          <t>☑</t>
        </is>
      </c>
      <c r="H32" s="64" t="inlineStr">
        <is>
          <t>NK - Neha</t>
        </is>
      </c>
      <c r="I32" s="5" t="inlineStr">
        <is>
          <t>Frontend</t>
        </is>
      </c>
      <c r="J32" s="34" t="inlineStr">
        <is>
          <t>DONE</t>
        </is>
      </c>
    </row>
    <row r="33" ht="15" customHeight="1" s="110">
      <c r="A33" s="8" t="inlineStr">
        <is>
          <t>Stores Management</t>
        </is>
      </c>
      <c r="B33" s="8" t="inlineStr">
        <is>
          <t>stores/index.js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Multi-store management for org-level users | Sprint 2.4 - Multi-store management</t>
        </is>
      </c>
      <c r="F33" s="36" t="inlineStr">
        <is>
          <t>P1</t>
        </is>
      </c>
      <c r="G33" s="32" t="inlineStr">
        <is>
          <t>☑</t>
        </is>
      </c>
      <c r="H33" s="59" t="inlineStr">
        <is>
          <t>NK - Neha</t>
        </is>
      </c>
      <c r="I33" s="9" t="inlineStr">
        <is>
          <t>Frontend</t>
        </is>
      </c>
      <c r="J33" s="38" t="inlineStr">
        <is>
          <t>DONE</t>
        </is>
      </c>
    </row>
    <row r="34" ht="15" customHeight="1" s="110">
      <c r="A34" s="4" t="inlineStr">
        <is>
          <t>Support</t>
        </is>
      </c>
      <c r="B34" s="4" t="inlineStr">
        <is>
          <t>support.js + meet/index.js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In-app support: ticket creation, Cal.com scheduling, help articles | Sprint 2.4 - Help center</t>
        </is>
      </c>
      <c r="F34" s="4" t="inlineStr">
        <is>
          <t>P3</t>
        </is>
      </c>
      <c r="G34" s="32" t="inlineStr">
        <is>
          <t>☑</t>
        </is>
      </c>
      <c r="H34" s="55" t="inlineStr">
        <is>
          <t>RG - Rohan</t>
        </is>
      </c>
      <c r="I34" s="5" t="inlineStr">
        <is>
          <t>Integrations</t>
        </is>
      </c>
      <c r="J34" s="34" t="inlineStr">
        <is>
          <t>DONE</t>
        </is>
      </c>
    </row>
    <row r="35" ht="15" customHeight="1" s="110">
      <c r="A35" s="65" t="inlineStr">
        <is>
          <t>Customers</t>
        </is>
      </c>
      <c r="B35" s="65" t="inlineStr">
        <is>
          <t>— (none)</t>
        </is>
      </c>
      <c r="C35" s="65" t="inlineStr">
        <is>
          <t>/customers</t>
        </is>
      </c>
      <c r="D35" s="65" t="inlineStr">
        <is>
          <t>EXISTS</t>
        </is>
      </c>
      <c r="E35" s="65" t="inlineStr">
        <is>
          <t>Full customer management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NK</t>
        </is>
      </c>
      <c r="I35" s="65" t="inlineStr">
        <is>
          <t>Frontend</t>
        </is>
      </c>
      <c r="J35" s="65" t="inlineStr">
        <is>
          <t>DONE</t>
        </is>
      </c>
    </row>
    <row r="36" ht="15" customHeight="1" s="110">
      <c r="A36" s="65" t="inlineStr">
        <is>
          <t>Products</t>
        </is>
      </c>
      <c r="B36" s="65" t="inlineStr">
        <is>
          <t>— (none)</t>
        </is>
      </c>
      <c r="C36" s="65" t="inlineStr">
        <is>
          <t>/products</t>
        </is>
      </c>
      <c r="D36" s="65" t="inlineStr">
        <is>
          <t>EXISTS</t>
        </is>
      </c>
      <c r="E36" s="65" t="inlineStr">
        <is>
          <t>Product catalog + sync</t>
        </is>
      </c>
      <c r="F36" s="65" t="inlineStr">
        <is>
          <t>P2</t>
        </is>
      </c>
      <c r="G36" s="65" t="inlineStr">
        <is>
          <t>☑</t>
        </is>
      </c>
      <c r="H36" s="65" t="inlineStr">
        <is>
          <t>NK</t>
        </is>
      </c>
      <c r="I36" s="65" t="inlineStr">
        <is>
          <t>Frontend</t>
        </is>
      </c>
      <c r="J36" s="65" t="inlineStr">
        <is>
          <t>DONE</t>
        </is>
      </c>
    </row>
    <row r="37" ht="15" customHeight="1" s="110">
      <c r="A37" s="65" t="inlineStr">
        <is>
          <t>Calendar</t>
        </is>
      </c>
      <c r="B37" s="65" t="inlineStr">
        <is>
          <t>— (none)</t>
        </is>
      </c>
      <c r="C37" s="65" t="inlineStr">
        <is>
          <t>/calendar</t>
        </is>
      </c>
      <c r="D37" s="65" t="inlineStr">
        <is>
          <t>EXISTS</t>
        </is>
      </c>
      <c r="E37" s="65" t="inlineStr">
        <is>
          <t>Delivery calendar view</t>
        </is>
      </c>
      <c r="F37" s="65" t="inlineStr">
        <is>
          <t>P3</t>
        </is>
      </c>
      <c r="G37" s="65" t="inlineStr">
        <is>
          <t>☑</t>
        </is>
      </c>
      <c r="H37" s="65" t="inlineStr">
        <is>
          <t>NK</t>
        </is>
      </c>
      <c r="I37" s="65" t="inlineStr">
        <is>
          <t>Frontend</t>
        </is>
      </c>
      <c r="J37" s="65" t="inlineStr">
        <is>
          <t>DONE</t>
        </is>
      </c>
    </row>
    <row r="38" ht="15" customHeight="1" s="110">
      <c r="A38" s="65" t="inlineStr">
        <is>
          <t>Activity Log</t>
        </is>
      </c>
      <c r="B38" s="65" t="inlineStr">
        <is>
          <t>— (none)</t>
        </is>
      </c>
      <c r="C38" s="65" t="inlineStr">
        <is>
          <t>/activity</t>
        </is>
      </c>
      <c r="D38" s="65" t="inlineStr">
        <is>
          <t>EXISTS</t>
        </is>
      </c>
      <c r="E38" s="65" t="inlineStr">
        <is>
          <t>Audit trail viewer</t>
        </is>
      </c>
      <c r="F38" s="65" t="inlineStr">
        <is>
          <t>P3</t>
        </is>
      </c>
      <c r="G38" s="65" t="inlineStr">
        <is>
          <t>☑</t>
        </is>
      </c>
      <c r="H38" s="65" t="inlineStr">
        <is>
          <t>AR</t>
        </is>
      </c>
      <c r="I38" s="65" t="inlineStr">
        <is>
          <t>Architecture</t>
        </is>
      </c>
      <c r="J38" s="65" t="inlineStr">
        <is>
          <t>DONE</t>
        </is>
      </c>
    </row>
    <row r="39" ht="15" customHeight="1" s="110">
      <c r="A39" s="65" t="inlineStr">
        <is>
          <t>Shipping Profiles</t>
        </is>
      </c>
      <c r="B39" s="65" t="inlineStr">
        <is>
          <t>— (none)</t>
        </is>
      </c>
      <c r="C39" s="65" t="inlineStr">
        <is>
          <t>/shipping-profiles</t>
        </is>
      </c>
      <c r="D39" s="65" t="inlineStr">
        <is>
          <t>EXISTS</t>
        </is>
      </c>
      <c r="E39" s="65" t="inlineStr">
        <is>
          <t>Profile management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Notifications</t>
        </is>
      </c>
      <c r="B40" s="65" t="inlineStr">
        <is>
          <t>— (none)</t>
        </is>
      </c>
      <c r="C40" s="65" t="inlineStr">
        <is>
          <t>/notifications</t>
        </is>
      </c>
      <c r="D40" s="65" t="inlineStr">
        <is>
          <t>EXISTS</t>
        </is>
      </c>
      <c r="E40" s="65" t="inlineStr">
        <is>
          <t>Notification center</t>
        </is>
      </c>
      <c r="F40" s="65" t="inlineStr">
        <is>
          <t>P2</t>
        </is>
      </c>
      <c r="G40" s="65" t="inlineStr">
        <is>
          <t>☑</t>
        </is>
      </c>
      <c r="H40" s="65" t="inlineStr">
        <is>
          <t>SP</t>
        </is>
      </c>
      <c r="I40" s="65" t="inlineStr">
        <is>
          <t>Integrations</t>
        </is>
      </c>
      <c r="J40" s="65" t="inlineStr">
        <is>
          <t>DONE</t>
        </is>
      </c>
    </row>
    <row r="42">
      <c r="A42" s="108" t="inlineStr">
        <is>
          <t>SPRINT 2.8 PLANNED</t>
        </is>
      </c>
    </row>
    <row r="43">
      <c r="A43" t="inlineStr">
        <is>
          <t>Activity Log (Redesign)</t>
        </is>
      </c>
      <c r="B43" t="inlineStr">
        <is>
          <t>activity log viewer</t>
        </is>
      </c>
      <c r="C43" t="inlineStr">
        <is>
          <t>/activity</t>
        </is>
      </c>
      <c r="D43" t="inlineStr">
        <is>
          <t>PLANNED</t>
        </is>
      </c>
      <c r="E43" t="inlineStr">
        <is>
          <t>Full audit trail with filters, timeline, entity links, export — frontend-design skill</t>
        </is>
      </c>
      <c r="F43" t="inlineStr">
        <is>
          <t>P1</t>
        </is>
      </c>
      <c r="G43" t="inlineStr">
        <is>
          <t>☐</t>
        </is>
      </c>
      <c r="H43" t="inlineStr">
        <is>
          <t>DM - Dev</t>
        </is>
      </c>
    </row>
    <row r="44">
      <c r="A44" t="inlineStr">
        <is>
          <t>Settings Hub (Redesign)</t>
        </is>
      </c>
      <c r="B44" t="inlineStr">
        <is>
          <t>settings/* (8+ tabs)</t>
        </is>
      </c>
      <c r="C44" t="inlineStr">
        <is>
          <t>/settings/*</t>
        </is>
      </c>
      <c r="D44" t="inlineStr">
        <is>
          <t>PLANNED</t>
        </is>
      </c>
      <c r="E44" t="inlineStr">
        <is>
          <t>Unified settings with auth providers, branding, API keys, team — frontend-design skill</t>
        </is>
      </c>
      <c r="F44" t="inlineStr">
        <is>
          <t>P1</t>
        </is>
      </c>
      <c r="G44" t="inlineStr">
        <is>
          <t>☐</t>
        </is>
      </c>
      <c r="H44" t="inlineStr">
        <is>
          <t>NK - Neha</t>
        </is>
      </c>
    </row>
    <row r="45">
      <c r="A45" t="inlineStr">
        <is>
          <t>Platform Admin Panel</t>
        </is>
      </c>
      <c r="B45" t="inlineStr">
        <is>
          <t>— (new)</t>
        </is>
      </c>
      <c r="C45" t="inlineStr">
        <is>
          <t>/admin/*</t>
        </is>
      </c>
      <c r="D45" t="inlineStr">
        <is>
          <t>PLANNED</t>
        </is>
      </c>
      <c r="E45" t="inlineStr">
        <is>
          <t>User management, customer management, store oversight, metrics, platform config</t>
        </is>
      </c>
      <c r="F45" t="inlineStr">
        <is>
          <t>P1</t>
        </is>
      </c>
      <c r="G45" t="inlineStr">
        <is>
          <t>☐</t>
        </is>
      </c>
      <c r="H45" t="inlineStr">
        <is>
          <t>DM - Dev</t>
        </is>
      </c>
    </row>
    <row r="46">
      <c r="A46" t="inlineStr">
        <is>
          <t>Standard Delivery</t>
        </is>
      </c>
      <c r="B46" t="inlineStr">
        <is>
          <t>standard-delivery/*</t>
        </is>
      </c>
      <c r="C46" t="inlineStr">
        <is>
          <t>/delivery/standard</t>
        </is>
      </c>
      <c r="D46" t="inlineStr">
        <is>
          <t>PLANNED</t>
        </is>
      </c>
      <c r="E46" t="inlineStr">
        <is>
          <t>Standard shipping workflow: orders, shipments, carrier assignment</t>
        </is>
      </c>
      <c r="F46" t="inlineStr">
        <is>
          <t>P1</t>
        </is>
      </c>
      <c r="G46" t="inlineStr">
        <is>
          <t>☐</t>
        </is>
      </c>
      <c r="H46" t="inlineStr">
        <is>
          <t>NK - Neha</t>
        </is>
      </c>
    </row>
    <row r="47">
      <c r="A47" t="inlineStr">
        <is>
          <t>Auth Provider Config</t>
        </is>
      </c>
      <c r="B47" t="inlineStr">
        <is>
          <t>— (new)</t>
        </is>
      </c>
      <c r="C47" t="inlineStr">
        <is>
          <t>/settings/auth-providers</t>
        </is>
      </c>
      <c r="D47" t="inlineStr">
        <is>
          <t>PLANNED</t>
        </is>
      </c>
      <c r="E47" t="inlineStr">
        <is>
          <t>Auth0/Clerk/Cognito/Firebase provider setup, test connection, SAML/OIDC config</t>
        </is>
      </c>
      <c r="F47" t="inlineStr">
        <is>
          <t>P1</t>
        </is>
      </c>
      <c r="G47" t="inlineStr">
        <is>
          <t>☐</t>
        </is>
      </c>
      <c r="H47" t="inlineStr">
        <is>
          <t>NK - Neha</t>
        </is>
      </c>
    </row>
    <row r="49">
      <c r="A49" s="129" t="inlineStr">
        <is>
          <t>DESIGN SYSTEM (Sprint 3.0)</t>
        </is>
      </c>
      <c r="B49" s="130" t="n"/>
      <c r="C49" s="130" t="n"/>
      <c r="D49" s="130" t="n"/>
    </row>
    <row r="50">
      <c r="A50" s="132" t="inlineStr">
        <is>
          <t>shadcn/ui Component Preview</t>
        </is>
      </c>
      <c r="B50" s="132" t="inlineStr">
        <is>
          <t>Interactive component gallery with dark theme</t>
        </is>
      </c>
      <c r="C50" s="132" t="inlineStr">
        <is>
          <t>Sprint 3.0</t>
        </is>
      </c>
      <c r="D50" s="132" t="inlineStr">
        <is>
          <t>Planned</t>
        </is>
      </c>
    </row>
    <row r="51">
      <c r="A51" s="132" t="inlineStr">
        <is>
          <t>Design Tokens Page</t>
        </is>
      </c>
      <c r="B51" s="132" t="inlineStr">
        <is>
          <t>Visual token reference (colors, spacing, typography)</t>
        </is>
      </c>
      <c r="C51" s="132" t="inlineStr">
        <is>
          <t>Sprint 3.0</t>
        </is>
      </c>
      <c r="D51" s="132" t="inlineStr">
        <is>
          <t>Planned</t>
        </is>
      </c>
    </row>
    <row r="52">
      <c r="A52" s="132" t="inlineStr">
        <is>
          <t>Webhook Management</t>
        </is>
      </c>
      <c r="B52" s="132" t="inlineStr">
        <is>
          <t>Register, test, and monitor webhook endpoints</t>
        </is>
      </c>
      <c r="C52" s="132" t="inlineStr">
        <is>
          <t>Sprint 3.0</t>
        </is>
      </c>
      <c r="D52" s="132" t="inlineStr">
        <is>
          <t>Planned</t>
        </is>
      </c>
    </row>
    <row r="53">
      <c r="A53" s="132" t="inlineStr">
        <is>
          <t>Event Log Viewer</t>
        </is>
      </c>
      <c r="B53" s="132" t="inlineStr">
        <is>
          <t>Browse and filter platform event stream</t>
        </is>
      </c>
      <c r="C53" s="132" t="inlineStr">
        <is>
          <t>Sprint 3.0</t>
        </is>
      </c>
      <c r="D53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60A5FA"/>
    <outlinePr summaryBelow="1" summaryRight="1"/>
    <pageSetUpPr/>
  </sheetPr>
  <dimension ref="A1:J6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8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Service Domain</t>
        </is>
      </c>
      <c r="B1" s="1" t="inlineStr">
        <is>
          <t>Old Services (lmd-oms-v3)</t>
        </is>
      </c>
      <c r="C1" s="1" t="inlineStr">
        <is>
          <t>New API Routes (Fastify)</t>
        </is>
      </c>
      <c r="D1" s="1" t="inlineStr">
        <is>
          <t>Status</t>
        </is>
      </c>
      <c r="E1" s="1" t="inlineStr">
        <is>
          <t>Key Endpoints Missing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Authentication</t>
        </is>
      </c>
      <c r="B2" s="22" t="inlineStr">
        <is>
          <t>users/userService (JWT + cookie sessions)</t>
        </is>
      </c>
      <c r="C2" s="22" t="inlineStr">
        <is>
          <t>routes/auth.ts</t>
        </is>
      </c>
      <c r="D2" s="23" t="inlineStr">
        <is>
          <t>EXISTS</t>
        </is>
      </c>
      <c r="E2" s="22" t="inlineStr">
        <is>
          <t>Google OAuth, password reset flow, email verification, 2FA, refresh token rotation, session management</t>
        </is>
      </c>
      <c r="F2" s="24" t="inlineStr">
        <is>
          <t>P0</t>
        </is>
      </c>
      <c r="G2" s="25" t="inlineStr">
        <is>
          <t>☑</t>
        </is>
      </c>
      <c r="H2" s="35" t="inlineStr">
        <is>
          <t>AR - Arjun</t>
        </is>
      </c>
      <c r="I2" s="27" t="inlineStr">
        <is>
          <t>Architecture</t>
        </is>
      </c>
      <c r="J2" s="28" t="inlineStr">
        <is>
          <t>DONE</t>
        </is>
      </c>
    </row>
    <row r="3" ht="23.25" customHeight="1" s="110">
      <c r="A3" s="22" t="inlineStr">
        <is>
          <t>Order CRUD</t>
        </is>
      </c>
      <c r="B3" s="22" t="inlineStr">
        <is>
          <t>orders/orderService + orderCountService</t>
        </is>
      </c>
      <c r="C3" s="22" t="inlineStr">
        <is>
          <t>routes/orders.ts</t>
        </is>
      </c>
      <c r="D3" s="23" t="inlineStr">
        <is>
          <t>EXISTS</t>
        </is>
      </c>
      <c r="E3" s="22" t="inlineStr">
        <is>
          <t>Manual order creation, order import (CSV), bulk status update, order merge/split, refund initiation, fulfillment creation</t>
        </is>
      </c>
      <c r="F3" s="24" t="inlineStr">
        <is>
          <t>P0</t>
        </is>
      </c>
      <c r="G3" s="25" t="inlineStr">
        <is>
          <t>☑</t>
        </is>
      </c>
      <c r="H3" s="26" t="inlineStr">
        <is>
          <t>PK - Priya</t>
        </is>
      </c>
      <c r="I3" s="27" t="inlineStr">
        <is>
          <t>Core Backend</t>
        </is>
      </c>
      <c r="J3" s="29" t="inlineStr">
        <is>
          <t>DONE</t>
        </is>
      </c>
    </row>
    <row r="4" ht="23.25" customHeight="1" s="110">
      <c r="A4" s="4" t="inlineStr">
        <is>
          <t>Shipment Lifecycle</t>
        </is>
      </c>
      <c r="B4" s="4" t="inlineStr">
        <is>
          <t>shipment/* (18 service files)</t>
        </is>
      </c>
      <c r="C4" s="4" t="inlineStr">
        <is>
          <t>—</t>
        </is>
      </c>
      <c r="D4" s="30" t="inlineStr">
        <is>
          <t>EXISTS</t>
        </is>
      </c>
      <c r="E4" s="4" t="inlineStr">
        <is>
          <t>Entire shipment domain: create from order, status transitions, assign to route, label generation, tracking updates, documents, payment tracking, activity log</t>
        </is>
      </c>
      <c r="F4" s="31" t="inlineStr">
        <is>
          <t>Sprint 2.4 - FileStorage (local + S3)</t>
        </is>
      </c>
      <c r="G4" s="32" t="inlineStr">
        <is>
          <t>☑</t>
        </is>
      </c>
      <c r="H4" s="33" t="inlineStr">
        <is>
          <t>PK - Priya</t>
        </is>
      </c>
      <c r="I4" s="5" t="inlineStr">
        <is>
          <t>Core Backend</t>
        </is>
      </c>
      <c r="J4" s="34" t="inlineStr">
        <is>
          <t>DONE</t>
        </is>
      </c>
    </row>
    <row r="5" ht="34.5" customHeight="1" s="110">
      <c r="A5" s="8" t="inlineStr">
        <is>
          <t>Route Optimization</t>
        </is>
      </c>
      <c r="B5" s="8" t="inlineStr">
        <is>
          <t>serviceBus/mapbox + locationService/mapboxService + googleMapService</t>
        </is>
      </c>
      <c r="C5" s="8" t="inlineStr">
        <is>
          <t>packages/core/src/route-optimizer/ (5 files)</t>
        </is>
      </c>
      <c r="D5" s="30" t="inlineStr">
        <is>
          <t>EXISTS</t>
        </is>
      </c>
      <c r="E5" s="8" t="inlineStr">
        <is>
          <t>Nearest-neighbor, 2-opt, Clarke-Wright algorithms; ETA calculation; distance matrix</t>
        </is>
      </c>
      <c r="F5" s="47" t="inlineStr">
        <is>
          <t>P0</t>
        </is>
      </c>
      <c r="G5" s="32" t="inlineStr">
        <is>
          <t>☑</t>
        </is>
      </c>
      <c r="H5" s="48" t="inlineStr">
        <is>
          <t>VS - Vikram</t>
        </is>
      </c>
      <c r="I5" s="9" t="inlineStr">
        <is>
          <t>Core Backend</t>
        </is>
      </c>
      <c r="J5" s="46" t="inlineStr">
        <is>
          <t>DONE</t>
        </is>
      </c>
    </row>
    <row r="6" ht="23.25" customHeight="1" s="110">
      <c r="A6" s="22" t="inlineStr">
        <is>
          <t>Route Management</t>
        </is>
      </c>
      <c r="B6" s="22" t="inlineStr">
        <is>
          <t>shipment/shipmentRoutes + shipmentRouteDirection</t>
        </is>
      </c>
      <c r="C6" s="22" t="inlineStr">
        <is>
          <t>routes/routes.ts</t>
        </is>
      </c>
      <c r="D6" s="23" t="inlineStr">
        <is>
          <t>EXISTS</t>
        </is>
      </c>
      <c r="E6" s="22" t="inlineStr">
        <is>
          <t>Route CRUD exists but missing: optimization integration, direction rendering, stop reordering, driver notification on assignment, route claiming, label printing</t>
        </is>
      </c>
      <c r="F6" s="24" t="inlineStr">
        <is>
          <t>P0</t>
        </is>
      </c>
      <c r="G6" s="25" t="inlineStr">
        <is>
          <t>☑</t>
        </is>
      </c>
      <c r="H6" s="49" t="inlineStr">
        <is>
          <t>VS - Vikram</t>
        </is>
      </c>
      <c r="I6" s="27" t="inlineStr">
        <is>
          <t>Core Backend</t>
        </is>
      </c>
      <c r="J6" s="29" t="inlineStr">
        <is>
          <t>DONE</t>
        </is>
      </c>
    </row>
    <row r="7" ht="23.25" customHeight="1" s="110">
      <c r="A7" s="8" t="inlineStr">
        <is>
          <t>Location/Warehouse Mgmt</t>
        </is>
      </c>
      <c r="B7" s="8" t="inlineStr">
        <is>
          <t>— (via storeDetail)</t>
        </is>
      </c>
      <c r="C7" s="8" t="inlineStr">
        <is>
          <t>routes/locations-v2.ts (13 endpoints)</t>
        </is>
      </c>
      <c r="D7" s="30" t="inlineStr">
        <is>
          <t>EXISTS</t>
        </is>
      </c>
      <c r="E7" s="8" t="inlineStr">
        <is>
          <t>Working hours, capacity, zone associations, nearest location (Haversine)</t>
        </is>
      </c>
      <c r="F7" s="47" t="inlineStr">
        <is>
          <t>P0</t>
        </is>
      </c>
      <c r="G7" s="32" t="inlineStr">
        <is>
          <t>☑</t>
        </is>
      </c>
      <c r="H7" s="48" t="inlineStr">
        <is>
          <t>VS - Vikram</t>
        </is>
      </c>
      <c r="I7" s="9" t="inlineStr">
        <is>
          <t>Core Backend</t>
        </is>
      </c>
      <c r="J7" s="46" t="inlineStr">
        <is>
          <t>DONE</t>
        </is>
      </c>
    </row>
    <row r="8" ht="23.25" customHeight="1" s="110">
      <c r="A8" s="4" t="inlineStr">
        <is>
          <t>Shipping Profiles</t>
        </is>
      </c>
      <c r="B8" s="4" t="inlineStr">
        <is>
          <t>profiles/shippingProfile + calenderProfile</t>
        </is>
      </c>
      <c r="C8" s="4" t="inlineStr">
        <is>
          <t>—</t>
        </is>
      </c>
      <c r="D8" s="30" t="inlineStr">
        <is>
          <t>EXISTS</t>
        </is>
      </c>
      <c r="E8" s="4" t="inlineStr">
        <is>
          <t>Rate calculation engine, calendar rules, delivery windows, processing times, conditional rules, zone-based pricing</t>
        </is>
      </c>
      <c r="F8" s="31" t="inlineStr">
        <is>
          <t>Sprint 2.4 - FileStorage (local + S3)</t>
        </is>
      </c>
      <c r="G8" s="32" t="inlineStr">
        <is>
          <t>☑</t>
        </is>
      </c>
      <c r="H8" s="45" t="inlineStr">
        <is>
          <t>VS - Vikram</t>
        </is>
      </c>
      <c r="I8" s="5" t="inlineStr">
        <is>
          <t>Core Backend</t>
        </is>
      </c>
      <c r="J8" s="34" t="inlineStr">
        <is>
          <t>DONE</t>
        </is>
      </c>
    </row>
    <row r="9" ht="23.25" customHeight="1" s="110">
      <c r="A9" s="8" t="inlineStr">
        <is>
          <t>Delivery Rules Engine</t>
        </is>
      </c>
      <c r="B9" s="8" t="inlineStr">
        <is>
          <t>shipment/shipmentRules + calenderRules/*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Distance-based, weight-based, zone-based, time-based, product-category rules; min order; same-day/next-day logic</t>
        </is>
      </c>
      <c r="F9" s="47" t="inlineStr">
        <is>
          <t>Sprint 2.4 - Delivery rules engine</t>
        </is>
      </c>
      <c r="G9" s="32" t="inlineStr">
        <is>
          <t>☑</t>
        </is>
      </c>
      <c r="H9" s="48" t="inlineStr">
        <is>
          <t>VS - Vikram</t>
        </is>
      </c>
      <c r="I9" s="9" t="inlineStr">
        <is>
          <t>Core Backend</t>
        </is>
      </c>
      <c r="J9" s="38" t="inlineStr">
        <is>
          <t>DONE</t>
        </is>
      </c>
    </row>
    <row r="10" ht="23.25" customHeight="1" s="110">
      <c r="A10" s="22" t="inlineStr">
        <is>
          <t>Carrier Rate Calculation</t>
        </is>
      </c>
      <c r="B10" s="22" t="inlineStr">
        <is>
          <t>carrierService/* (6 files)</t>
        </is>
      </c>
      <c r="C10" s="22" t="inlineStr">
        <is>
          <t>routes/carriers.ts</t>
        </is>
      </c>
      <c r="D10" s="23" t="inlineStr">
        <is>
          <t>EXISTS</t>
        </is>
      </c>
      <c r="E10" s="22" t="inlineStr">
        <is>
          <t>Rate calculator engine, natural load balancing, Shopify carrier service callback, multi-carrier comparison</t>
        </is>
      </c>
      <c r="F10" s="24" t="inlineStr">
        <is>
          <t>Sprint 2.4 - FileStorage (local + S3)</t>
        </is>
      </c>
      <c r="G10" s="25" t="inlineStr">
        <is>
          <t>☑</t>
        </is>
      </c>
      <c r="H10" s="49" t="inlineStr">
        <is>
          <t>VS - Vikram</t>
        </is>
      </c>
      <c r="I10" s="27" t="inlineStr">
        <is>
          <t>Core Backend</t>
        </is>
      </c>
      <c r="J10" s="29" t="inlineStr">
        <is>
          <t>DONE</t>
        </is>
      </c>
    </row>
    <row r="11" ht="23.25" customHeight="1" s="110">
      <c r="A11" s="8" t="inlineStr">
        <is>
          <t>Notification Dispatch</t>
        </is>
      </c>
      <c r="B11" s="8" t="inlineStr">
        <is>
          <t>notifications/* (9 files)</t>
        </is>
      </c>
      <c r="C11" s="8" t="inlineStr">
        <is>
          <t>—</t>
        </is>
      </c>
      <c r="D11" s="30" t="inlineStr">
        <is>
          <t>EXISTS</t>
        </is>
      </c>
      <c r="E11" s="8" t="inlineStr">
        <is>
          <t>Email (SendGrid/SMTP), SMS (Twilio), WhatsApp (Meta Cloud API), Push (Firebase), Slack — all channel dispatchers</t>
        </is>
      </c>
      <c r="F11" s="47" t="inlineStr">
        <is>
          <t>Sprint 2.4 - FileStorage (local + S3)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23.25" customHeight="1" s="110">
      <c r="A12" s="4" t="inlineStr">
        <is>
          <t>Notification Templates</t>
        </is>
      </c>
      <c r="B12" s="4" t="inlineStr">
        <is>
          <t>campaign/emailTemplate + whatsappTemplate</t>
        </is>
      </c>
      <c r="C12" s="4" t="inlineStr">
        <is>
          <t>—</t>
        </is>
      </c>
      <c r="D12" s="30" t="inlineStr">
        <is>
          <t>EXISTS</t>
        </is>
      </c>
      <c r="E12" s="4" t="inlineStr">
        <is>
          <t>Template CRUD, Unlayer email editor, WhatsApp template sync, variable interpolation, multi-language</t>
        </is>
      </c>
      <c r="F12" s="54" t="inlineStr">
        <is>
          <t>Sprint 2.4 - Campaign manager + template engine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Webhook Processing</t>
        </is>
      </c>
      <c r="B13" s="22" t="inlineStr">
        <is>
          <t>webhooks/* (7 files) + 5 webhook servers</t>
        </is>
      </c>
      <c r="C13" s="22" t="inlineStr">
        <is>
          <t>routes/shopify-webhooks.ts</t>
        </is>
      </c>
      <c r="D13" s="23" t="inlineStr">
        <is>
          <t>EXISTS</t>
        </is>
      </c>
      <c r="E13" s="22" t="inlineStr">
        <is>
          <t>Missing dedicated queue processors for orders, products, customers, inventory; missing retry logic, dead letter queues</t>
        </is>
      </c>
      <c r="F13" s="24" t="inlineStr">
        <is>
          <t>Sprint 2.4 - FileStorage (local + S3)</t>
        </is>
      </c>
      <c r="G13" s="25" t="inlineStr">
        <is>
          <t>☑</t>
        </is>
      </c>
      <c r="H13" s="26" t="inlineStr">
        <is>
          <t>PK - Priya</t>
        </is>
      </c>
      <c r="I13" s="27" t="inlineStr">
        <is>
          <t>Core Backend</t>
        </is>
      </c>
      <c r="J13" s="29" t="inlineStr">
        <is>
          <t>DONE</t>
        </is>
      </c>
    </row>
    <row r="14" ht="23.25" customHeight="1" s="110">
      <c r="A14" s="4" t="inlineStr">
        <is>
          <t>Shopify Sync</t>
        </is>
      </c>
      <c r="B14" s="4" t="inlineStr">
        <is>
          <t>shopify/* (15 files)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Order sync, product sync, customer sync, inventory sync, collection sync, metafield ops, cart validation, fulfillment routing, GraphQL helpers</t>
        </is>
      </c>
      <c r="F14" s="31" t="inlineStr">
        <is>
          <t>Sprint 2.4 - FileStorage (local + S3)</t>
        </is>
      </c>
      <c r="G14" s="32" t="inlineStr">
        <is>
          <t>☑</t>
        </is>
      </c>
      <c r="H14" s="33" t="inlineStr">
        <is>
          <t>PK - Priya</t>
        </is>
      </c>
      <c r="I14" s="5" t="inlineStr">
        <is>
          <t>Core Backend</t>
        </is>
      </c>
      <c r="J14" s="34" t="inlineStr">
        <is>
          <t>DONE</t>
        </is>
      </c>
    </row>
    <row r="15" ht="23.25" customHeight="1" s="110">
      <c r="A15" s="8" t="inlineStr">
        <is>
          <t>Real-time Tracking</t>
        </is>
      </c>
      <c r="B15" s="8" t="inlineStr">
        <is>
          <t>tracking/* (3 files) + Firebase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Firebase real-time driver location, customer tracking page updates, driver notification triggers, WebSocket/SSE fallback</t>
        </is>
      </c>
      <c r="F15" s="47" t="inlineStr">
        <is>
          <t>Sprint 2.4 - FileStorage (local + S3)</t>
        </is>
      </c>
      <c r="G15" s="32" t="inlineStr">
        <is>
          <t>☑</t>
        </is>
      </c>
      <c r="H15" s="53" t="inlineStr">
        <is>
          <t>SP - Sanya</t>
        </is>
      </c>
      <c r="I15" s="9" t="inlineStr">
        <is>
          <t>Integrations</t>
        </is>
      </c>
      <c r="J15" s="38" t="inlineStr">
        <is>
          <t>DONE</t>
        </is>
      </c>
    </row>
    <row r="16" ht="23.25" customHeight="1" s="110">
      <c r="A16" s="4" t="inlineStr">
        <is>
          <t>Payment Processing</t>
        </is>
      </c>
      <c r="B16" s="4" t="inlineStr">
        <is>
          <t>cod/* + paymentGateways/*</t>
        </is>
      </c>
      <c r="C16" s="4" t="inlineStr">
        <is>
          <t>routes/payment-methods.ts + packages/core/src/payments/</t>
        </is>
      </c>
      <c r="D16" s="30" t="inlineStr">
        <is>
          <t>EXISTS</t>
        </is>
      </c>
      <c r="E16" s="4" t="inlineStr">
        <is>
          <t>COD gateway implemented; abstract PaymentGateway for Stripe/Razorpay; idempotent processor</t>
        </is>
      </c>
      <c r="F16" s="54" t="inlineStr">
        <is>
          <t>P1</t>
        </is>
      </c>
      <c r="G16" s="32" t="inlineStr">
        <is>
          <t>☑</t>
        </is>
      </c>
      <c r="H16" s="55" t="inlineStr">
        <is>
          <t>RG - Rohan</t>
        </is>
      </c>
      <c r="I16" s="5" t="inlineStr">
        <is>
          <t>Integrations</t>
        </is>
      </c>
      <c r="J16" s="46" t="inlineStr">
        <is>
          <t>DONE</t>
        </is>
      </c>
    </row>
    <row r="17" ht="23.25" customHeight="1" s="110">
      <c r="A17" s="8" t="inlineStr">
        <is>
          <t>Analytics Engine</t>
        </is>
      </c>
      <c r="B17" s="8" t="inlineStr">
        <is>
          <t>analytics/dashboard + analyticsEvent/*</t>
        </is>
      </c>
      <c r="C17" s="8" t="inlineStr">
        <is>
          <t>routes/analytics-v2.ts + packages/core/src/analytics/</t>
        </is>
      </c>
      <c r="D17" s="30" t="inlineStr">
        <is>
          <t>EXISTS</t>
        </is>
      </c>
      <c r="E17" s="8" t="inlineStr">
        <is>
          <t>Event tracker, time-series aggregator, dashboard widgets; 6 API endpoints</t>
        </is>
      </c>
      <c r="F17" s="36" t="inlineStr">
        <is>
          <t>P1</t>
        </is>
      </c>
      <c r="G17" s="32" t="inlineStr">
        <is>
          <t>☑</t>
        </is>
      </c>
      <c r="H17" s="56" t="inlineStr">
        <is>
          <t>RG - Rohan</t>
        </is>
      </c>
      <c r="I17" s="9" t="inlineStr">
        <is>
          <t>Integrations</t>
        </is>
      </c>
      <c r="J17" s="46" t="inlineStr">
        <is>
          <t>DONE</t>
        </is>
      </c>
    </row>
    <row r="18" ht="23.25" customHeight="1" s="110">
      <c r="A18" s="4" t="inlineStr">
        <is>
          <t>Campaign System</t>
        </is>
      </c>
      <c r="B18" s="4" t="inlineStr">
        <is>
          <t>campaign/* (3 files)</t>
        </is>
      </c>
      <c r="C18" s="4" t="inlineStr">
        <is>
          <t>—</t>
        </is>
      </c>
      <c r="D18" s="30" t="inlineStr">
        <is>
          <t>EXISTS</t>
        </is>
      </c>
      <c r="E18" s="4" t="inlineStr">
        <is>
          <t>Campaign creation, audience segmentation, broadcast groups, send scheduling, open/click tracking</t>
        </is>
      </c>
      <c r="F18" s="50" t="inlineStr">
        <is>
          <t>Sprint 2.4 - Campaign manager + template engine</t>
        </is>
      </c>
      <c r="G18" s="32" t="inlineStr">
        <is>
          <t>☑</t>
        </is>
      </c>
      <c r="H18" s="51" t="inlineStr">
        <is>
          <t>SP - Sanya</t>
        </is>
      </c>
      <c r="I18" s="5" t="inlineStr">
        <is>
          <t>Integrations</t>
        </is>
      </c>
      <c r="J18" s="34" t="inlineStr">
        <is>
          <t>DONE</t>
        </is>
      </c>
    </row>
    <row r="19" ht="23.25" customHeight="1" s="110">
      <c r="A19" s="8" t="inlineStr">
        <is>
          <t>File Management</t>
        </is>
      </c>
      <c r="B19" s="8" t="inlineStr">
        <is>
          <t>Files/* (2 files)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File upload/download, CSV import/export, POD photo storage, document management</t>
        </is>
      </c>
      <c r="F19" s="36" t="inlineStr">
        <is>
          <t>Sprint 2.4 - FileStorage (local + S3)</t>
        </is>
      </c>
      <c r="G19" s="32" t="inlineStr">
        <is>
          <t>☑</t>
        </is>
      </c>
      <c r="H19" s="56" t="inlineStr">
        <is>
          <t>RG - Rohan</t>
        </is>
      </c>
      <c r="I19" s="9" t="inlineStr">
        <is>
          <t>Integrations</t>
        </is>
      </c>
      <c r="J19" s="38" t="inlineStr">
        <is>
          <t>DONE</t>
        </is>
      </c>
    </row>
    <row r="20" ht="23.25" customHeight="1" s="110">
      <c r="A20" s="22" t="inlineStr">
        <is>
          <t>Billing &amp; Plans</t>
        </is>
      </c>
      <c r="B20" s="22" t="inlineStr">
        <is>
          <t>store/billingService + plansService</t>
        </is>
      </c>
      <c r="C20" s="22" t="inlineStr">
        <is>
          <t>routes/billing.ts</t>
        </is>
      </c>
      <c r="D20" s="24" t="inlineStr">
        <is>
          <t>EXISTS</t>
        </is>
      </c>
      <c r="E20" s="22" t="inlineStr">
        <is>
          <t>Shopify billing API integration, plan management, usage metering, upgrade/downgrade, invoice generation</t>
        </is>
      </c>
      <c r="F20" s="23" t="inlineStr">
        <is>
          <t>P1</t>
        </is>
      </c>
      <c r="G20" s="25" t="inlineStr">
        <is>
          <t>☑</t>
        </is>
      </c>
      <c r="H20" s="57" t="inlineStr">
        <is>
          <t>RG - Rohan</t>
        </is>
      </c>
      <c r="I20" s="27" t="inlineStr">
        <is>
          <t>Integrations</t>
        </is>
      </c>
      <c r="J20" s="29" t="inlineStr">
        <is>
          <t>DONE</t>
        </is>
      </c>
    </row>
    <row r="21" ht="23.25" customHeight="1" s="110">
      <c r="A21" s="22" t="inlineStr">
        <is>
          <t>User/Role Management</t>
        </is>
      </c>
      <c r="B21" s="22" t="inlineStr">
        <is>
          <t>users/* (5 files)</t>
        </is>
      </c>
      <c r="C21" s="22" t="inlineStr">
        <is>
          <t>routes/users.ts</t>
        </is>
      </c>
      <c r="D21" s="23" t="inlineStr">
        <is>
          <t>EXISTS</t>
        </is>
      </c>
      <c r="E21" s="22" t="inlineStr">
        <is>
          <t>Missing: user invitation flow, role assignment API, permission CRUD, activity logging per user</t>
        </is>
      </c>
      <c r="F21" s="23" t="inlineStr">
        <is>
          <t>Sprint 2.4 - FileStorage (local + S3)</t>
        </is>
      </c>
      <c r="G21" s="25" t="inlineStr">
        <is>
          <t>☑</t>
        </is>
      </c>
      <c r="H21" s="35" t="inlineStr">
        <is>
          <t>AR - Arjun</t>
        </is>
      </c>
      <c r="I21" s="27" t="inlineStr">
        <is>
          <t>Architecture</t>
        </is>
      </c>
      <c r="J21" s="29" t="inlineStr">
        <is>
          <t>DONE</t>
        </is>
      </c>
    </row>
    <row r="22" ht="23.25" customHeight="1" s="110">
      <c r="A22" s="22" t="inlineStr">
        <is>
          <t>Store Management</t>
        </is>
      </c>
      <c r="B22" s="22" t="inlineStr">
        <is>
          <t>store/* (13 files)</t>
        </is>
      </c>
      <c r="C22" s="22" t="inlineStr">
        <is>
          <t>routes/shops.ts</t>
        </is>
      </c>
      <c r="D22" s="23" t="inlineStr">
        <is>
          <t>EXISTS</t>
        </is>
      </c>
      <c r="E22" s="22" t="inlineStr">
        <is>
          <t>Missing: store settings CRUD, API provider config, table filter persistence, inventory config, billing config, installer tracking</t>
        </is>
      </c>
      <c r="F22" s="23" t="inlineStr">
        <is>
          <t>Sprint 2.4 - FileStorage (local + S3)</t>
        </is>
      </c>
      <c r="G22" s="25" t="inlineStr">
        <is>
          <t>☑</t>
        </is>
      </c>
      <c r="H22" s="35" t="inlineStr">
        <is>
          <t>AR - Arjun</t>
        </is>
      </c>
      <c r="I22" s="27" t="inlineStr">
        <is>
          <t>Architecture</t>
        </is>
      </c>
      <c r="J22" s="29" t="inlineStr">
        <is>
          <t>DONE</t>
        </is>
      </c>
    </row>
    <row r="23" ht="15" customHeight="1" s="110">
      <c r="A23" s="8" t="inlineStr">
        <is>
          <t>History/Audit Trail</t>
        </is>
      </c>
      <c r="B23" s="8" t="inlineStr">
        <is>
          <t>history/history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Activity logging, entity change tracking, audit trail queries, export</t>
        </is>
      </c>
      <c r="F23" s="36" t="inlineStr">
        <is>
          <t>P1</t>
        </is>
      </c>
      <c r="G23" s="32" t="inlineStr">
        <is>
          <t>☑</t>
        </is>
      </c>
      <c r="H23" s="37" t="inlineStr">
        <is>
          <t>AR - Arjun</t>
        </is>
      </c>
      <c r="I23" s="9" t="inlineStr">
        <is>
          <t>Architecture</t>
        </is>
      </c>
      <c r="J23" s="38" t="inlineStr">
        <is>
          <t>DONE</t>
        </is>
      </c>
    </row>
    <row r="24" ht="15" customHeight="1" s="110">
      <c r="A24" s="4" t="inlineStr">
        <is>
          <t>Custom Metafields</t>
        </is>
      </c>
      <c r="B24" s="4" t="inlineStr">
        <is>
          <t>customMetafield/customMetafield</t>
        </is>
      </c>
      <c r="C24" s="4" t="inlineStr">
        <is>
          <t>—</t>
        </is>
      </c>
      <c r="D24" s="30" t="inlineStr">
        <is>
          <t>EXISTS</t>
        </is>
      </c>
      <c r="E24" s="4" t="inlineStr">
        <is>
          <t>Custom field definitions, per-entity custom data, metafield CRUD</t>
        </is>
      </c>
      <c r="F24" s="50" t="inlineStr">
        <is>
          <t>Sprint 2.4 - Custom metafields manager</t>
        </is>
      </c>
      <c r="G24" s="32" t="inlineStr">
        <is>
          <t>☑</t>
        </is>
      </c>
      <c r="H24" s="33" t="inlineStr">
        <is>
          <t>PK - Priya</t>
        </is>
      </c>
      <c r="I24" s="5" t="inlineStr">
        <is>
          <t>Core Backend</t>
        </is>
      </c>
      <c r="J24" s="34" t="inlineStr">
        <is>
          <t>DONE</t>
        </is>
      </c>
    </row>
    <row r="25" ht="23.25" customHeight="1" s="110">
      <c r="A25" s="8" t="inlineStr">
        <is>
          <t>POS Integration</t>
        </is>
      </c>
      <c r="B25" s="8" t="inlineStr">
        <is>
          <t>pos/posCustomFormService + publicService/posPluginService</t>
        </is>
      </c>
      <c r="C25" s="8" t="inlineStr">
        <is>
          <t>—</t>
        </is>
      </c>
      <c r="D25" s="30" t="inlineStr">
        <is>
          <t>MISSING</t>
        </is>
      </c>
      <c r="E25" s="8" t="inlineStr">
        <is>
          <t>Point of sale: custom form builder, POS checkout, POS-specific shipping profiles</t>
        </is>
      </c>
      <c r="F25" s="52" t="inlineStr">
        <is>
          <t>P2</t>
        </is>
      </c>
      <c r="G25" s="32" t="inlineStr">
        <is>
          <t>☐</t>
        </is>
      </c>
      <c r="H25" s="56" t="inlineStr">
        <is>
          <t>RG - Rohan</t>
        </is>
      </c>
      <c r="I25" s="9" t="inlineStr">
        <is>
          <t>Integrations</t>
        </is>
      </c>
      <c r="J25" s="38" t="inlineStr">
        <is>
          <t>NOT STARTED</t>
        </is>
      </c>
    </row>
    <row r="26" ht="23.25" customHeight="1" s="110">
      <c r="A26" s="4" t="inlineStr">
        <is>
          <t>Public APIs (Cart Plugin)</t>
        </is>
      </c>
      <c r="B26" s="4" t="inlineStr">
        <is>
          <t>publicService/cartPluginService</t>
        </is>
      </c>
      <c r="C26" s="4" t="inlineStr">
        <is>
          <t>apps/tracking-page/src/components/ (date-picker, time-slot, rate-calc, cart-widget)</t>
        </is>
      </c>
      <c r="D26" s="30" t="inlineStr">
        <is>
          <t>EXISTS</t>
        </is>
      </c>
      <c r="E26" s="4" t="inlineStr">
        <is>
          <t>Storefront cart plugin: delivery date picker, time slot availability, rate calculation for checkout</t>
        </is>
      </c>
      <c r="F26" s="31" t="inlineStr">
        <is>
          <t>P0</t>
        </is>
      </c>
      <c r="G26" s="32" t="inlineStr">
        <is>
          <t>☑</t>
        </is>
      </c>
      <c r="H26" s="33" t="inlineStr">
        <is>
          <t>PK - Priya</t>
        </is>
      </c>
      <c r="I26" s="5" t="inlineStr">
        <is>
          <t>Core Backend</t>
        </is>
      </c>
      <c r="J26" s="46" t="inlineStr">
        <is>
          <t>DONE</t>
        </is>
      </c>
    </row>
    <row r="27" ht="23.25" customHeight="1" s="110">
      <c r="A27" s="22" t="inlineStr">
        <is>
          <t>Public Tracking API</t>
        </is>
      </c>
      <c r="B27" s="22" t="inlineStr">
        <is>
          <t>publicService/publicService + tracking/*</t>
        </is>
      </c>
      <c r="C27" s="22" t="inlineStr">
        <is>
          <t>routes/tracking.ts</t>
        </is>
      </c>
      <c r="D27" s="23" t="inlineStr">
        <is>
          <t>EXISTS</t>
        </is>
      </c>
      <c r="E27" s="22" t="inlineStr">
        <is>
          <t>Missing: branded tracking page data, real-time status updates, delivery photo display, rating submission</t>
        </is>
      </c>
      <c r="F27" s="23" t="inlineStr">
        <is>
          <t>P1</t>
        </is>
      </c>
      <c r="G27" s="25" t="inlineStr">
        <is>
          <t>☑</t>
        </is>
      </c>
      <c r="H27" s="26" t="inlineStr">
        <is>
          <t>PK - Priya</t>
        </is>
      </c>
      <c r="I27" s="27" t="inlineStr">
        <is>
          <t>Core Backend</t>
        </is>
      </c>
      <c r="J27" s="29" t="inlineStr">
        <is>
          <t>DONE</t>
        </is>
      </c>
    </row>
    <row r="28" ht="23.25" customHeight="1" s="110">
      <c r="A28" s="4" t="inlineStr">
        <is>
          <t>Event Scheduler</t>
        </is>
      </c>
      <c r="B28" s="4" t="inlineStr">
        <is>
          <t>scheduler/* (2 files) + queue server</t>
        </is>
      </c>
      <c r="C28" s="4" t="inlineStr">
        <is>
          <t>—</t>
        </is>
      </c>
      <c r="D28" s="30" t="inlineStr">
        <is>
          <t>EXISTS</t>
        </is>
      </c>
      <c r="E28" s="4" t="inlineStr">
        <is>
          <t>Scheduled event triggers, cron jobs, automated status updates, reminder notifications</t>
        </is>
      </c>
      <c r="F28" s="54" t="inlineStr">
        <is>
          <t>Sprint 2.4 - FileStorage (local + S3)</t>
        </is>
      </c>
      <c r="G28" s="32" t="inlineStr">
        <is>
          <t>☑</t>
        </is>
      </c>
      <c r="H28" s="66" t="inlineStr">
        <is>
          <t>AM - Aisha</t>
        </is>
      </c>
      <c r="I28" s="5" t="inlineStr">
        <is>
          <t>Platform</t>
        </is>
      </c>
      <c r="J28" s="34" t="inlineStr">
        <is>
          <t>DONE</t>
        </is>
      </c>
    </row>
    <row r="29" ht="15" customHeight="1" s="110">
      <c r="A29" s="8" t="inlineStr">
        <is>
          <t>CRM Integration</t>
        </is>
      </c>
      <c r="B29" s="8" t="inlineStr">
        <is>
          <t>crm/hubspot</t>
        </is>
      </c>
      <c r="C29" s="8" t="inlineStr">
        <is>
          <t>—</t>
        </is>
      </c>
      <c r="D29" s="30" t="inlineStr">
        <is>
          <t>MISSING</t>
        </is>
      </c>
      <c r="E29" s="8" t="inlineStr">
        <is>
          <t>HubSpot integration, contact sync, deal tracking</t>
        </is>
      </c>
      <c r="F29" s="8" t="inlineStr">
        <is>
          <t>P3</t>
        </is>
      </c>
      <c r="G29" s="32" t="inlineStr">
        <is>
          <t>☐</t>
        </is>
      </c>
      <c r="H29" s="53" t="inlineStr">
        <is>
          <t>SP - Sanya</t>
        </is>
      </c>
      <c r="I29" s="9" t="inlineStr">
        <is>
          <t>Integrations</t>
        </is>
      </c>
      <c r="J29" s="38" t="inlineStr">
        <is>
          <t>NOT STARTED</t>
        </is>
      </c>
    </row>
    <row r="30" ht="15" customHeight="1" s="110">
      <c r="A30" s="4" t="inlineStr">
        <is>
          <t>Google Calendar</t>
        </is>
      </c>
      <c r="B30" s="4" t="inlineStr">
        <is>
          <t>googleCalender/googleCalenderService</t>
        </is>
      </c>
      <c r="C30" s="4" t="inlineStr">
        <is>
          <t>—</t>
        </is>
      </c>
      <c r="D30" s="30" t="inlineStr">
        <is>
          <t>MISSING</t>
        </is>
      </c>
      <c r="E30" s="4" t="inlineStr">
        <is>
          <t>Calendar integration for delivery scheduling</t>
        </is>
      </c>
      <c r="F30" s="4" t="inlineStr">
        <is>
          <t>P3</t>
        </is>
      </c>
      <c r="G30" s="32" t="inlineStr">
        <is>
          <t>☐</t>
        </is>
      </c>
      <c r="H30" s="51" t="inlineStr">
        <is>
          <t>SP - Sanya</t>
        </is>
      </c>
      <c r="I30" s="5" t="inlineStr">
        <is>
          <t>Integrations</t>
        </is>
      </c>
      <c r="J30" s="34" t="inlineStr">
        <is>
          <t>NOT STARTED</t>
        </is>
      </c>
    </row>
    <row r="31" ht="23.25" customHeight="1" s="110">
      <c r="A31" s="8" t="inlineStr">
        <is>
          <t>Super Admin</t>
        </is>
      </c>
      <c r="B31" s="8" t="inlineStr">
        <is>
          <t>superAdmin/analytics + controllers/super-admin/*</t>
        </is>
      </c>
      <c r="C31" s="8" t="inlineStr">
        <is>
          <t>—</t>
        </is>
      </c>
      <c r="D31" s="30" t="inlineStr">
        <is>
          <t>MISSING</t>
        </is>
      </c>
      <c r="E31" s="8" t="inlineStr">
        <is>
          <t>Cross-store analytics, store management, campaign management, billing admin, webhook admin</t>
        </is>
      </c>
      <c r="F31" s="52" t="inlineStr">
        <is>
          <t>P2</t>
        </is>
      </c>
      <c r="G31" s="32" t="inlineStr">
        <is>
          <t>☑</t>
        </is>
      </c>
      <c r="H31" s="56" t="inlineStr">
        <is>
          <t>RG - Rohan</t>
        </is>
      </c>
      <c r="I31" s="9" t="inlineStr">
        <is>
          <t>Integrations</t>
        </is>
      </c>
      <c r="J31" s="38" t="inlineStr">
        <is>
          <t>DONE</t>
        </is>
      </c>
    </row>
    <row r="32" ht="15" customHeight="1" s="110">
      <c r="A32" s="4" t="inlineStr">
        <is>
          <t>Integration Worker</t>
        </is>
      </c>
      <c r="B32" s="4" t="inlineStr">
        <is>
          <t>— (new)</t>
        </is>
      </c>
      <c r="C32" s="4" t="inlineStr">
        <is>
          <t>workers/integration-worker.ts</t>
        </is>
      </c>
      <c r="D32" s="41" t="inlineStr">
        <is>
          <t>EXISTS</t>
        </is>
      </c>
      <c r="E32" s="4" t="inlineStr">
        <is>
          <t>Integration event processing worker exists</t>
        </is>
      </c>
      <c r="F32" s="4" t="inlineStr">
        <is>
          <t>—</t>
        </is>
      </c>
      <c r="G32" s="42" t="inlineStr">
        <is>
          <t>☑</t>
        </is>
      </c>
      <c r="H32" s="67" t="inlineStr">
        <is>
          <t>—</t>
        </is>
      </c>
      <c r="I32" s="5" t="inlineStr">
        <is>
          <t>—</t>
        </is>
      </c>
      <c r="J32" s="44" t="inlineStr">
        <is>
          <t>DONE</t>
        </is>
      </c>
    </row>
    <row r="33" ht="15" customHeight="1" s="110">
      <c r="A33" s="8" t="inlineStr">
        <is>
          <t>Notification Worker</t>
        </is>
      </c>
      <c r="B33" s="8" t="inlineStr">
        <is>
          <t>— (new)</t>
        </is>
      </c>
      <c r="C33" s="8" t="inlineStr">
        <is>
          <t>workers/notification-worker.ts</t>
        </is>
      </c>
      <c r="D33" s="41" t="inlineStr">
        <is>
          <t>EXISTS</t>
        </is>
      </c>
      <c r="E33" s="8" t="inlineStr">
        <is>
          <t>Notification dispatch worker exists (shell)</t>
        </is>
      </c>
      <c r="F33" s="8" t="inlineStr">
        <is>
          <t>—</t>
        </is>
      </c>
      <c r="G33" s="42" t="inlineStr">
        <is>
          <t>☑</t>
        </is>
      </c>
      <c r="H33" s="43" t="inlineStr">
        <is>
          <t>—</t>
        </is>
      </c>
      <c r="I33" s="9" t="inlineStr">
        <is>
          <t>—</t>
        </is>
      </c>
      <c r="J33" s="44" t="inlineStr">
        <is>
          <t>DONE</t>
        </is>
      </c>
    </row>
    <row r="34" ht="15" customHeight="1" s="110">
      <c r="A34" s="4" t="inlineStr">
        <is>
          <t>Optimization Worker</t>
        </is>
      </c>
      <c r="B34" s="4" t="inlineStr">
        <is>
          <t>— (new)</t>
        </is>
      </c>
      <c r="C34" s="4" t="inlineStr">
        <is>
          <t>workers/optimization-worker.ts</t>
        </is>
      </c>
      <c r="D34" s="41" t="inlineStr">
        <is>
          <t>EXISTS</t>
        </is>
      </c>
      <c r="E34" s="4" t="inlineStr">
        <is>
          <t>Route optimization worker exists (shell)</t>
        </is>
      </c>
      <c r="F34" s="4" t="inlineStr">
        <is>
          <t>—</t>
        </is>
      </c>
      <c r="G34" s="42" t="inlineStr">
        <is>
          <t>☑</t>
        </is>
      </c>
      <c r="H34" s="67" t="inlineStr">
        <is>
          <t>—</t>
        </is>
      </c>
      <c r="I34" s="5" t="inlineStr">
        <is>
          <t>—</t>
        </is>
      </c>
      <c r="J34" s="44" t="inlineStr">
        <is>
          <t>DONE</t>
        </is>
      </c>
    </row>
    <row r="35" ht="15" customHeight="1" s="110">
      <c r="A35" s="65" t="inlineStr">
        <is>
          <t>Settings Management</t>
        </is>
      </c>
      <c r="B35" s="65" t="inlineStr">
        <is>
          <t>— (none)</t>
        </is>
      </c>
      <c r="C35" s="65" t="inlineStr">
        <is>
          <t>routes/settings.ts</t>
        </is>
      </c>
      <c r="D35" s="65" t="inlineStr">
        <is>
          <t>EXISTS</t>
        </is>
      </c>
      <c r="E35" s="65" t="inlineStr">
        <is>
          <t>— (all implemented)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RG</t>
        </is>
      </c>
      <c r="I35" s="65" t="inlineStr">
        <is>
          <t>Backend</t>
        </is>
      </c>
      <c r="J35" s="65" t="inlineStr">
        <is>
          <t>DONE</t>
        </is>
      </c>
    </row>
    <row r="36" ht="15" customHeight="1" s="110">
      <c r="A36" s="65" t="inlineStr">
        <is>
          <t>Drivers CRUD</t>
        </is>
      </c>
      <c r="B36" s="65" t="inlineStr">
        <is>
          <t>— (partial)</t>
        </is>
      </c>
      <c r="C36" s="65" t="inlineStr">
        <is>
          <t>routes/drivers.ts</t>
        </is>
      </c>
      <c r="D36" s="65" t="inlineStr">
        <is>
          <t>EXISTS</t>
        </is>
      </c>
      <c r="E36" s="65" t="inlineStr">
        <is>
          <t>— (all implemented)</t>
        </is>
      </c>
      <c r="F36" s="65" t="inlineStr">
        <is>
          <t>P1</t>
        </is>
      </c>
      <c r="G36" s="65" t="inlineStr">
        <is>
          <t>☑</t>
        </is>
      </c>
      <c r="H36" s="65" t="inlineStr">
        <is>
          <t>VS</t>
        </is>
      </c>
      <c r="I36" s="65" t="inlineStr">
        <is>
          <t>Delivery Ops</t>
        </is>
      </c>
      <c r="J36" s="65" t="inlineStr">
        <is>
          <t>DONE</t>
        </is>
      </c>
    </row>
    <row r="37" ht="15" customHeight="1" s="110">
      <c r="A37" s="65" t="inlineStr">
        <is>
          <t>Zones CRUD</t>
        </is>
      </c>
      <c r="B37" s="65" t="inlineStr">
        <is>
          <t>— (partial)</t>
        </is>
      </c>
      <c r="C37" s="65" t="inlineStr">
        <is>
          <t>routes/zones.ts</t>
        </is>
      </c>
      <c r="D37" s="65" t="inlineStr">
        <is>
          <t>EXISTS</t>
        </is>
      </c>
      <c r="E37" s="65" t="inlineStr">
        <is>
          <t>— (all implemented)</t>
        </is>
      </c>
      <c r="F37" s="65" t="inlineStr">
        <is>
          <t>P1</t>
        </is>
      </c>
      <c r="G37" s="65" t="inlineStr">
        <is>
          <t>☑</t>
        </is>
      </c>
      <c r="H37" s="65" t="inlineStr">
        <is>
          <t>VS</t>
        </is>
      </c>
      <c r="I37" s="65" t="inlineStr">
        <is>
          <t>Delivery Ops</t>
        </is>
      </c>
      <c r="J37" s="65" t="inlineStr">
        <is>
          <t>DONE</t>
        </is>
      </c>
    </row>
    <row r="38" ht="15" customHeight="1" s="110">
      <c r="A38" s="65" t="inlineStr">
        <is>
          <t>Time Slots</t>
        </is>
      </c>
      <c r="B38" s="65" t="inlineStr">
        <is>
          <t>— (none)</t>
        </is>
      </c>
      <c r="C38" s="65" t="inlineStr">
        <is>
          <t>routes/time-slots.ts</t>
        </is>
      </c>
      <c r="D38" s="65" t="inlineStr">
        <is>
          <t>EXISTS</t>
        </is>
      </c>
      <c r="E38" s="65" t="inlineStr">
        <is>
          <t>— (all implemented)</t>
        </is>
      </c>
      <c r="F38" s="65" t="inlineStr">
        <is>
          <t>P2</t>
        </is>
      </c>
      <c r="G38" s="65" t="inlineStr">
        <is>
          <t>☑</t>
        </is>
      </c>
      <c r="H38" s="65" t="inlineStr">
        <is>
          <t>VS</t>
        </is>
      </c>
      <c r="I38" s="65" t="inlineStr">
        <is>
          <t>Delivery Ops</t>
        </is>
      </c>
      <c r="J38" s="65" t="inlineStr">
        <is>
          <t>DONE</t>
        </is>
      </c>
    </row>
    <row r="39" ht="15" customHeight="1" s="110">
      <c r="A39" s="65" t="inlineStr">
        <is>
          <t>Locations CRUD</t>
        </is>
      </c>
      <c r="B39" s="65" t="inlineStr">
        <is>
          <t>— (none)</t>
        </is>
      </c>
      <c r="C39" s="65" t="inlineStr">
        <is>
          <t>routes/locations.ts</t>
        </is>
      </c>
      <c r="D39" s="65" t="inlineStr">
        <is>
          <t>EXISTS</t>
        </is>
      </c>
      <c r="E39" s="65" t="inlineStr">
        <is>
          <t>— (all implemented)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Shipments CRUD</t>
        </is>
      </c>
      <c r="B40" s="65" t="inlineStr">
        <is>
          <t>— (none)</t>
        </is>
      </c>
      <c r="C40" s="65" t="inlineStr">
        <is>
          <t>routes/shipments.ts</t>
        </is>
      </c>
      <c r="D40" s="65" t="inlineStr">
        <is>
          <t>EXISTS</t>
        </is>
      </c>
      <c r="E40" s="65" t="inlineStr">
        <is>
          <t>— (all implemented)</t>
        </is>
      </c>
      <c r="F40" s="65" t="inlineStr">
        <is>
          <t>P1</t>
        </is>
      </c>
      <c r="G40" s="65" t="inlineStr">
        <is>
          <t>☑</t>
        </is>
      </c>
      <c r="H40" s="65" t="inlineStr">
        <is>
          <t>PK</t>
        </is>
      </c>
      <c r="I40" s="65" t="inlineStr">
        <is>
          <t>Core Backend</t>
        </is>
      </c>
      <c r="J40" s="65" t="inlineStr">
        <is>
          <t>DONE</t>
        </is>
      </c>
    </row>
    <row r="41" ht="15" customHeight="1" s="110">
      <c r="A41" s="65" t="inlineStr">
        <is>
          <t>Customers CRUD</t>
        </is>
      </c>
      <c r="B41" s="65" t="inlineStr">
        <is>
          <t>— (none)</t>
        </is>
      </c>
      <c r="C41" s="65" t="inlineStr">
        <is>
          <t>routes/customers.ts</t>
        </is>
      </c>
      <c r="D41" s="65" t="inlineStr">
        <is>
          <t>EXISTS</t>
        </is>
      </c>
      <c r="E41" s="65" t="inlineStr">
        <is>
          <t>— (all implemented)</t>
        </is>
      </c>
      <c r="F41" s="65" t="inlineStr">
        <is>
          <t>P2</t>
        </is>
      </c>
      <c r="G41" s="65" t="inlineStr">
        <is>
          <t>☑</t>
        </is>
      </c>
      <c r="H41" s="65" t="inlineStr">
        <is>
          <t>PK</t>
        </is>
      </c>
      <c r="I41" s="65" t="inlineStr">
        <is>
          <t>Core Backend</t>
        </is>
      </c>
      <c r="J41" s="65" t="inlineStr">
        <is>
          <t>DONE</t>
        </is>
      </c>
    </row>
    <row r="42" ht="15" customHeight="1" s="110">
      <c r="A42" s="65" t="inlineStr">
        <is>
          <t>Products CRUD</t>
        </is>
      </c>
      <c r="B42" s="65" t="inlineStr">
        <is>
          <t>— (none)</t>
        </is>
      </c>
      <c r="C42" s="65" t="inlineStr">
        <is>
          <t>routes/products.ts</t>
        </is>
      </c>
      <c r="D42" s="65" t="inlineStr">
        <is>
          <t>EXISTS</t>
        </is>
      </c>
      <c r="E42" s="65" t="inlineStr">
        <is>
          <t>— (all implemented)</t>
        </is>
      </c>
      <c r="F42" s="65" t="inlineStr">
        <is>
          <t>P2</t>
        </is>
      </c>
      <c r="G42" s="65" t="inlineStr">
        <is>
          <t>☑</t>
        </is>
      </c>
      <c r="H42" s="65" t="inlineStr">
        <is>
          <t>PK</t>
        </is>
      </c>
      <c r="I42" s="65" t="inlineStr">
        <is>
          <t>Core Backend</t>
        </is>
      </c>
      <c r="J42" s="65" t="inlineStr">
        <is>
          <t>DONE</t>
        </is>
      </c>
    </row>
    <row r="43" ht="15" customHeight="1" s="110">
      <c r="A43" s="65" t="inlineStr">
        <is>
          <t>Payments CRUD</t>
        </is>
      </c>
      <c r="B43" s="65" t="inlineStr">
        <is>
          <t>— (none)</t>
        </is>
      </c>
      <c r="C43" s="65" t="inlineStr">
        <is>
          <t>routes/payments.ts</t>
        </is>
      </c>
      <c r="D43" s="65" t="inlineStr">
        <is>
          <t>EXISTS</t>
        </is>
      </c>
      <c r="E43" s="65" t="inlineStr">
        <is>
          <t>— (all implemented)</t>
        </is>
      </c>
      <c r="F43" s="65" t="inlineStr">
        <is>
          <t>P2</t>
        </is>
      </c>
      <c r="G43" s="65" t="inlineStr">
        <is>
          <t>☑</t>
        </is>
      </c>
      <c r="H43" s="65" t="inlineStr">
        <is>
          <t>RG</t>
        </is>
      </c>
      <c r="I43" s="65" t="inlineStr">
        <is>
          <t>Backend</t>
        </is>
      </c>
      <c r="J43" s="65" t="inlineStr">
        <is>
          <t>DONE</t>
        </is>
      </c>
    </row>
    <row r="44" ht="15" customHeight="1" s="110">
      <c r="A44" s="65" t="inlineStr">
        <is>
          <t>Calendar Rules</t>
        </is>
      </c>
      <c r="B44" s="65" t="inlineStr">
        <is>
          <t>— (none)</t>
        </is>
      </c>
      <c r="C44" s="65" t="inlineStr">
        <is>
          <t>routes/calendar-rules.ts</t>
        </is>
      </c>
      <c r="D44" s="65" t="inlineStr">
        <is>
          <t>EXISTS</t>
        </is>
      </c>
      <c r="E44" s="65" t="inlineStr">
        <is>
          <t>— (all implemented)</t>
        </is>
      </c>
      <c r="F44" s="65" t="inlineStr">
        <is>
          <t>P2</t>
        </is>
      </c>
      <c r="G44" s="65" t="inlineStr">
        <is>
          <t>☑</t>
        </is>
      </c>
      <c r="H44" s="65" t="inlineStr">
        <is>
          <t>VS</t>
        </is>
      </c>
      <c r="I44" s="65" t="inlineStr">
        <is>
          <t>Delivery Ops</t>
        </is>
      </c>
      <c r="J44" s="65" t="inlineStr">
        <is>
          <t>DONE</t>
        </is>
      </c>
    </row>
    <row r="45" ht="15" customHeight="1" s="110">
      <c r="A45" s="65" t="inlineStr">
        <is>
          <t>Shipping Profiles</t>
        </is>
      </c>
      <c r="B45" s="65" t="inlineStr">
        <is>
          <t>— (none)</t>
        </is>
      </c>
      <c r="C45" s="65" t="inlineStr">
        <is>
          <t>routes/shipping-profiles.ts</t>
        </is>
      </c>
      <c r="D45" s="65" t="inlineStr">
        <is>
          <t>EXISTS</t>
        </is>
      </c>
      <c r="E45" s="65" t="inlineStr">
        <is>
          <t>— (all implemented)</t>
        </is>
      </c>
      <c r="F45" s="65" t="inlineStr">
        <is>
          <t>Sprint 2.4 - FileStorage (local + S3)</t>
        </is>
      </c>
      <c r="G45" s="65" t="inlineStr">
        <is>
          <t>☑</t>
        </is>
      </c>
      <c r="H45" s="65" t="inlineStr">
        <is>
          <t>VS</t>
        </is>
      </c>
      <c r="I45" s="65" t="inlineStr">
        <is>
          <t>Delivery Ops</t>
        </is>
      </c>
      <c r="J45" s="65" t="inlineStr">
        <is>
          <t>DONE</t>
        </is>
      </c>
    </row>
    <row r="46" ht="15" customHeight="1" s="110">
      <c r="A46" s="65" t="inlineStr">
        <is>
          <t>Analytics</t>
        </is>
      </c>
      <c r="B46" s="65" t="inlineStr">
        <is>
          <t>— (none)</t>
        </is>
      </c>
      <c r="C46" s="65" t="inlineStr">
        <is>
          <t>routes/analytics.ts</t>
        </is>
      </c>
      <c r="D46" s="65" t="inlineStr">
        <is>
          <t>EXISTS</t>
        </is>
      </c>
      <c r="E46" s="65" t="inlineStr">
        <is>
          <t>— (all implemented)</t>
        </is>
      </c>
      <c r="F46" s="65" t="inlineStr">
        <is>
          <t>P3</t>
        </is>
      </c>
      <c r="G46" s="65" t="inlineStr">
        <is>
          <t>☑</t>
        </is>
      </c>
      <c r="H46" s="65" t="inlineStr">
        <is>
          <t>RG</t>
        </is>
      </c>
      <c r="I46" s="65" t="inlineStr">
        <is>
          <t>Backend</t>
        </is>
      </c>
      <c r="J46" s="65" t="inlineStr">
        <is>
          <t>DONE</t>
        </is>
      </c>
    </row>
    <row r="47" ht="15" customHeight="1" s="110">
      <c r="A47" s="65" t="inlineStr">
        <is>
          <t>Activity Logs</t>
        </is>
      </c>
      <c r="B47" s="65" t="inlineStr">
        <is>
          <t>— (none)</t>
        </is>
      </c>
      <c r="C47" s="65" t="inlineStr">
        <is>
          <t>routes/activity-logs.ts</t>
        </is>
      </c>
      <c r="D47" s="65" t="inlineStr">
        <is>
          <t>EXISTS</t>
        </is>
      </c>
      <c r="E47" s="65" t="inlineStr">
        <is>
          <t>— (all implemented)</t>
        </is>
      </c>
      <c r="F47" s="65" t="inlineStr">
        <is>
          <t>P3</t>
        </is>
      </c>
      <c r="G47" s="65" t="inlineStr">
        <is>
          <t>☑</t>
        </is>
      </c>
      <c r="H47" s="65" t="inlineStr">
        <is>
          <t>AR</t>
        </is>
      </c>
      <c r="I47" s="65" t="inlineStr">
        <is>
          <t>Architecture</t>
        </is>
      </c>
      <c r="J47" s="65" t="inlineStr">
        <is>
          <t>DONE</t>
        </is>
      </c>
    </row>
    <row r="48" ht="15" customHeight="1" s="110">
      <c r="A48" s="65" t="inlineStr">
        <is>
          <t>Notification Templates</t>
        </is>
      </c>
      <c r="B48" s="65" t="inlineStr">
        <is>
          <t>— (none)</t>
        </is>
      </c>
      <c r="C48" s="65" t="inlineStr">
        <is>
          <t>routes/notification-templates.ts</t>
        </is>
      </c>
      <c r="D48" s="65" t="inlineStr">
        <is>
          <t>EXISTS</t>
        </is>
      </c>
      <c r="E48" s="65" t="inlineStr">
        <is>
          <t>— (all implemented)</t>
        </is>
      </c>
      <c r="F48" s="65" t="inlineStr">
        <is>
          <t>P2</t>
        </is>
      </c>
      <c r="G48" s="65" t="inlineStr">
        <is>
          <t>☑</t>
        </is>
      </c>
      <c r="H48" s="65" t="inlineStr">
        <is>
          <t>SP</t>
        </is>
      </c>
      <c r="I48" s="65" t="inlineStr">
        <is>
          <t>Integrations</t>
        </is>
      </c>
      <c r="J48" s="65" t="inlineStr">
        <is>
          <t>DONE</t>
        </is>
      </c>
    </row>
    <row r="49" ht="15" customHeight="1" s="110">
      <c r="A49" s="65" t="inlineStr">
        <is>
          <t>Integrations</t>
        </is>
      </c>
      <c r="B49" s="65" t="inlineStr">
        <is>
          <t>— (none)</t>
        </is>
      </c>
      <c r="C49" s="65" t="inlineStr">
        <is>
          <t>routes/integrations.ts</t>
        </is>
      </c>
      <c r="D49" s="65" t="inlineStr">
        <is>
          <t>EXISTS</t>
        </is>
      </c>
      <c r="E49" s="65" t="inlineStr">
        <is>
          <t>— (all implemented)</t>
        </is>
      </c>
      <c r="F49" s="65" t="inlineStr">
        <is>
          <t>P2</t>
        </is>
      </c>
      <c r="G49" s="65" t="inlineStr">
        <is>
          <t>☑</t>
        </is>
      </c>
      <c r="H49" s="65" t="inlineStr">
        <is>
          <t>AM</t>
        </is>
      </c>
      <c r="I49" s="65" t="inlineStr">
        <is>
          <t>Shopify</t>
        </is>
      </c>
      <c r="J49" s="65" t="inlineStr">
        <is>
          <t>DONE</t>
        </is>
      </c>
    </row>
    <row r="50" ht="15" customHeight="1" s="110">
      <c r="A50" s="65" t="inlineStr">
        <is>
          <t>Organizations</t>
        </is>
      </c>
      <c r="B50" s="65" t="inlineStr">
        <is>
          <t>— (none)</t>
        </is>
      </c>
      <c r="C50" s="65" t="inlineStr">
        <is>
          <t>routes/orgs.ts</t>
        </is>
      </c>
      <c r="D50" s="65" t="inlineStr">
        <is>
          <t>EXISTS</t>
        </is>
      </c>
      <c r="E50" s="65" t="inlineStr">
        <is>
          <t>— (all implemented)</t>
        </is>
      </c>
      <c r="F50" s="65" t="inlineStr">
        <is>
          <t>P2</t>
        </is>
      </c>
      <c r="G50" s="65" t="inlineStr">
        <is>
          <t>☑</t>
        </is>
      </c>
      <c r="H50" s="65" t="inlineStr">
        <is>
          <t>AR</t>
        </is>
      </c>
      <c r="I50" s="65" t="inlineStr">
        <is>
          <t>Architecture</t>
        </is>
      </c>
      <c r="J50" s="65" t="inlineStr">
        <is>
          <t>DONE</t>
        </is>
      </c>
    </row>
    <row r="51" ht="15" customHeight="1" s="110">
      <c r="A51" s="65" t="inlineStr">
        <is>
          <t>Health Checks</t>
        </is>
      </c>
      <c r="B51" s="65" t="inlineStr">
        <is>
          <t>— (none)</t>
        </is>
      </c>
      <c r="C51" s="65" t="inlineStr">
        <is>
          <t>routes/health.ts</t>
        </is>
      </c>
      <c r="D51" s="65" t="inlineStr">
        <is>
          <t>EXISTS</t>
        </is>
      </c>
      <c r="E51" s="65" t="inlineStr">
        <is>
          <t>— (liveness + readiness + deep)</t>
        </is>
      </c>
      <c r="F51" s="65" t="inlineStr">
        <is>
          <t>P1</t>
        </is>
      </c>
      <c r="G51" s="65" t="inlineStr">
        <is>
          <t>☑</t>
        </is>
      </c>
      <c r="H51" s="65" t="inlineStr">
        <is>
          <t>RG</t>
        </is>
      </c>
      <c r="I51" s="65" t="inlineStr">
        <is>
          <t>Backend</t>
        </is>
      </c>
      <c r="J51" s="65" t="inlineStr">
        <is>
          <t>DONE</t>
        </is>
      </c>
    </row>
    <row r="53">
      <c r="A53" s="108" t="inlineStr">
        <is>
          <t>SPRINT 2.8 PLANNED</t>
        </is>
      </c>
    </row>
    <row r="54">
      <c r="A54" t="inlineStr">
        <is>
          <t>Auth Provider Registry</t>
        </is>
      </c>
      <c r="B54" t="inlineStr">
        <is>
          <t>— (new)</t>
        </is>
      </c>
      <c r="C54" t="inlineStr">
        <is>
          <t>packages/core/src/auth/</t>
        </is>
      </c>
      <c r="D54" t="inlineStr">
        <is>
          <t>PLANNED</t>
        </is>
      </c>
      <c r="E54" t="inlineStr">
        <is>
          <t>Multi-provider auth (Auth0, Clerk, Cognito, Firebase Auth, SAML, OIDC) with same BYOK pattern as routing/notifications</t>
        </is>
      </c>
      <c r="F54" t="inlineStr">
        <is>
          <t>P1</t>
        </is>
      </c>
      <c r="G54" t="inlineStr">
        <is>
          <t>☐</t>
        </is>
      </c>
      <c r="H54" t="inlineStr">
        <is>
          <t>AR - Arjun</t>
        </is>
      </c>
    </row>
    <row r="55">
      <c r="A55" t="inlineStr">
        <is>
          <t>Platform Admin API</t>
        </is>
      </c>
      <c r="B55" t="inlineStr">
        <is>
          <t>— (new)</t>
        </is>
      </c>
      <c r="C55" t="inlineStr">
        <is>
          <t>routes/admin.ts</t>
        </is>
      </c>
      <c r="D55" t="inlineStr">
        <is>
          <t>PLANNED</t>
        </is>
      </c>
      <c r="E55" t="inlineStr">
        <is>
          <t>User CRUD, customer management, store oversight, platform metrics, config management</t>
        </is>
      </c>
      <c r="F55" t="inlineStr">
        <is>
          <t>P1</t>
        </is>
      </c>
      <c r="G55" t="inlineStr">
        <is>
          <t>☐</t>
        </is>
      </c>
      <c r="H55" t="inlineStr">
        <is>
          <t>PK - Priya</t>
        </is>
      </c>
    </row>
    <row r="56">
      <c r="A56" t="inlineStr">
        <is>
          <t>POS Integration</t>
        </is>
      </c>
      <c r="B56" t="inlineStr">
        <is>
          <t>pos/posCustomFormService</t>
        </is>
      </c>
      <c r="C56" t="inlineStr">
        <is>
          <t>routes/pos.ts + core/pos/</t>
        </is>
      </c>
      <c r="D56" t="inlineStr">
        <is>
          <t>PLANNED</t>
        </is>
      </c>
      <c r="E56" t="inlineStr">
        <is>
          <t>POS checkout, custom form builder, POS-specific shipping profiles</t>
        </is>
      </c>
      <c r="F56" t="inlineStr">
        <is>
          <t>P2</t>
        </is>
      </c>
      <c r="G56" t="inlineStr">
        <is>
          <t>☐</t>
        </is>
      </c>
      <c r="H56" t="inlineStr">
        <is>
          <t>RG - Rohan</t>
        </is>
      </c>
    </row>
    <row r="57">
      <c r="A57" t="inlineStr">
        <is>
          <t>Docker Production Deploy</t>
        </is>
      </c>
      <c r="B57" t="inlineStr">
        <is>
          <t>— (new)</t>
        </is>
      </c>
      <c r="C57" t="inlineStr">
        <is>
          <t>infra/docker/</t>
        </is>
      </c>
      <c r="D57" t="inlineStr">
        <is>
          <t>PLANNED</t>
        </is>
      </c>
      <c r="E57" t="inlineStr">
        <is>
          <t>Multi-stage Dockerfiles, docker-compose.prod.yml, health checks, env config</t>
        </is>
      </c>
      <c r="F57" t="inlineStr">
        <is>
          <t>P1</t>
        </is>
      </c>
      <c r="G57" t="inlineStr">
        <is>
          <t>☐</t>
        </is>
      </c>
      <c r="H57" t="inlineStr">
        <is>
          <t>AM - Aisha</t>
        </is>
      </c>
    </row>
    <row r="58">
      <c r="A58" t="inlineStr">
        <is>
          <t>API Hardening</t>
        </is>
      </c>
      <c r="B58" t="inlineStr">
        <is>
          <t>— (existing)</t>
        </is>
      </c>
      <c r="C58" t="inlineStr">
        <is>
          <t>routes/*.ts</t>
        </is>
      </c>
      <c r="D58" t="inlineStr">
        <is>
          <t>PLANNED</t>
        </is>
      </c>
      <c r="E58" t="inlineStr">
        <is>
          <t>Zod validation on all routes, error standardization, OpenAPI spec generation</t>
        </is>
      </c>
      <c r="F58" t="inlineStr">
        <is>
          <t>P1</t>
        </is>
      </c>
      <c r="G58" t="inlineStr">
        <is>
          <t>☐</t>
        </is>
      </c>
      <c r="H58" t="inlineStr">
        <is>
          <t>PK - Priya</t>
        </is>
      </c>
    </row>
    <row r="59">
      <c r="A59" t="inlineStr">
        <is>
          <t>E2E Test Framework</t>
        </is>
      </c>
      <c r="B59" t="inlineStr">
        <is>
          <t>— (new)</t>
        </is>
      </c>
      <c r="C59" t="inlineStr">
        <is>
          <t>tests/e2e/</t>
        </is>
      </c>
      <c r="D59" t="inlineStr">
        <is>
          <t>PLANNED</t>
        </is>
      </c>
      <c r="E59" t="inlineStr">
        <is>
          <t>Integration test suites, load testing scripts (k6), CI pipeline</t>
        </is>
      </c>
      <c r="F59" t="inlineStr">
        <is>
          <t>P2</t>
        </is>
      </c>
      <c r="G59" t="inlineStr">
        <is>
          <t>☐</t>
        </is>
      </c>
      <c r="H59" t="inlineStr">
        <is>
          <t>KS - Kavitha</t>
        </is>
      </c>
    </row>
    <row r="61">
      <c r="A61" s="129" t="inlineStr">
        <is>
          <t>EVENT SYSTEM (Sprint 3.0)</t>
        </is>
      </c>
      <c r="B61" s="130" t="n"/>
      <c r="C61" s="130" t="n"/>
      <c r="D61" s="130" t="n"/>
    </row>
    <row r="62">
      <c r="A62" s="132" t="inlineStr">
        <is>
          <t>Event Bus</t>
        </is>
      </c>
      <c r="B62" s="132" t="inlineStr">
        <is>
          <t>Typed event emitter + Redis Streams pub/sub</t>
        </is>
      </c>
      <c r="C62" s="132" t="inlineStr">
        <is>
          <t>Sprint 3.0</t>
        </is>
      </c>
      <c r="D62" s="132" t="inlineStr">
        <is>
          <t>Planned</t>
        </is>
      </c>
    </row>
    <row r="63">
      <c r="A63" s="132" t="inlineStr">
        <is>
          <t>Webhook API</t>
        </is>
      </c>
      <c r="B63" s="132" t="inlineStr">
        <is>
          <t>Registration, delivery, signing, retry routes</t>
        </is>
      </c>
      <c r="C63" s="132" t="inlineStr">
        <is>
          <t>Sprint 3.0</t>
        </is>
      </c>
      <c r="D63" s="132" t="inlineStr">
        <is>
          <t>Planned</t>
        </is>
      </c>
    </row>
    <row r="64">
      <c r="A64" s="132" t="inlineStr">
        <is>
          <t>Workflow Integration</t>
        </is>
      </c>
      <c r="B64" s="132" t="inlineStr">
        <is>
          <t>Auto-trigger workflows from existing API endpoints</t>
        </is>
      </c>
      <c r="C64" s="132" t="inlineStr">
        <is>
          <t>Sprint 3.0</t>
        </is>
      </c>
      <c r="D64" s="132" t="inlineStr">
        <is>
          <t>Planned</t>
        </is>
      </c>
    </row>
    <row r="65">
      <c r="A65" s="132" t="inlineStr">
        <is>
          <t>Socket.io Workflow Events</t>
        </is>
      </c>
      <c r="B65" s="132" t="inlineStr">
        <is>
          <t>Real-time workflow progress over WebSocket</t>
        </is>
      </c>
      <c r="C65" s="132" t="inlineStr">
        <is>
          <t>Sprint 3.0</t>
        </is>
      </c>
      <c r="D65" s="132" t="inlineStr">
        <is>
          <t>Planned</t>
        </is>
      </c>
    </row>
    <row r="66">
      <c r="A66" s="132" t="inlineStr">
        <is>
          <t>Shopify Workflow Bridge</t>
        </is>
      </c>
      <c r="B66" s="132" t="inlineStr">
        <is>
          <t>Shopify order webhook → createDeliveryOrder trigger</t>
        </is>
      </c>
      <c r="C66" s="132" t="inlineStr">
        <is>
          <t>Sprint 3.0</t>
        </is>
      </c>
      <c r="D66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78BFA"/>
    <outlinePr summaryBelow="1" summaryRight="1"/>
    <pageSetUpPr/>
  </sheetPr>
  <dimension ref="A1:J3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35" customWidth="1" style="110" min="2" max="2"/>
    <col width="30" customWidth="1" style="110" min="3" max="3"/>
    <col width="14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Component</t>
        </is>
      </c>
      <c r="B1" s="1" t="inlineStr">
        <is>
          <t>Old System</t>
        </is>
      </c>
      <c r="C1" s="1" t="inlineStr">
        <is>
          <t>New Platform</t>
        </is>
      </c>
      <c r="D1" s="1" t="inlineStr">
        <is>
          <t>Status</t>
        </is>
      </c>
      <c r="E1" s="1" t="inlineStr">
        <is>
          <t>Action Required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Database</t>
        </is>
      </c>
      <c r="B2" s="22" t="inlineStr">
        <is>
          <t>MongoDB (Mongoose + speed-goose caching)</t>
        </is>
      </c>
      <c r="C2" s="22" t="inlineStr">
        <is>
          <t>PostgreSQL + Prisma 6</t>
        </is>
      </c>
      <c r="D2" s="22" t="inlineStr">
        <is>
          <t>EXISTS</t>
        </is>
      </c>
      <c r="E2" s="22" t="inlineStr">
        <is>
          <t>Data migration scripts needed for existing customers</t>
        </is>
      </c>
      <c r="F2" s="24" t="inlineStr">
        <is>
          <t>P0</t>
        </is>
      </c>
      <c r="G2" s="25" t="inlineStr">
        <is>
          <t>☑</t>
        </is>
      </c>
      <c r="H2" s="68" t="inlineStr">
        <is>
          <t>AM - Aisha</t>
        </is>
      </c>
      <c r="I2" s="27" t="inlineStr">
        <is>
          <t>Platform</t>
        </is>
      </c>
      <c r="J2" s="28" t="inlineStr">
        <is>
          <t>DONE</t>
        </is>
      </c>
    </row>
    <row r="3" ht="34.5" customHeight="1" s="110">
      <c r="A3" s="8" t="inlineStr">
        <is>
          <t>Message Queue</t>
        </is>
      </c>
      <c r="B3" s="8" t="inlineStr">
        <is>
          <t>Azure Service Bus (9 queues)</t>
        </is>
      </c>
      <c r="C3" s="8" t="inlineStr">
        <is>
          <t>packages/core/src/queue/ (7 consumers + base class)</t>
        </is>
      </c>
      <c r="D3" s="69" t="inlineStr">
        <is>
          <t>EXISTS</t>
        </is>
      </c>
      <c r="E3" s="8" t="inlineStr">
        <is>
          <t>BullMQ consumers: order-webhook, product-webhook, driver-tracking, event-scheduler + DLQ</t>
        </is>
      </c>
      <c r="F3" s="47" t="inlineStr">
        <is>
          <t>P0</t>
        </is>
      </c>
      <c r="G3" s="32" t="inlineStr">
        <is>
          <t>☑</t>
        </is>
      </c>
      <c r="H3" s="70" t="inlineStr">
        <is>
          <t>AM - Aisha</t>
        </is>
      </c>
      <c r="I3" s="9" t="inlineStr">
        <is>
          <t>Platform</t>
        </is>
      </c>
      <c r="J3" s="46" t="inlineStr">
        <is>
          <t>DONE</t>
        </is>
      </c>
    </row>
    <row r="4" ht="23.25" customHeight="1" s="110">
      <c r="A4" s="22" t="inlineStr">
        <is>
          <t>Cache Layer</t>
        </is>
      </c>
      <c r="B4" s="22" t="inlineStr">
        <is>
          <t>Redis (sessions + pub/sub + ORM cache)</t>
        </is>
      </c>
      <c r="C4" s="22" t="inlineStr">
        <is>
          <t>packages/core/src/cache/</t>
        </is>
      </c>
      <c r="D4" s="23" t="inlineStr">
        <is>
          <t>EXISTS</t>
        </is>
      </c>
      <c r="E4" s="22" t="inlineStr">
        <is>
          <t>Redis client exists but caching strategy not implemented; need: session store, query cache, rate limiting, pub/sub for real-time</t>
        </is>
      </c>
      <c r="F4" s="23" t="inlineStr">
        <is>
          <t>P1</t>
        </is>
      </c>
      <c r="G4" s="25" t="inlineStr">
        <is>
          <t>☑</t>
        </is>
      </c>
      <c r="H4" s="68" t="inlineStr">
        <is>
          <t>AM - Aisha</t>
        </is>
      </c>
      <c r="I4" s="27" t="inlineStr">
        <is>
          <t>Platform</t>
        </is>
      </c>
      <c r="J4" s="29" t="inlineStr">
        <is>
          <t>DONE</t>
        </is>
      </c>
    </row>
    <row r="5" ht="23.25" customHeight="1" s="110">
      <c r="A5" s="22" t="inlineStr">
        <is>
          <t>Real-time</t>
        </is>
      </c>
      <c r="B5" s="22" t="inlineStr">
        <is>
          <t>Firebase Realtime Database + WebSocket</t>
        </is>
      </c>
      <c r="C5" s="22" t="inlineStr">
        <is>
          <t>Socket.io realtime layer</t>
        </is>
      </c>
      <c r="D5" s="24" t="inlineStr">
        <is>
          <t>EXISTS</t>
        </is>
      </c>
      <c r="E5" s="22" t="inlineStr">
        <is>
          <t>Need real-time infrastructure: WebSocket/SSE server, driver location streaming, order status push to customers</t>
        </is>
      </c>
      <c r="F5" s="24" t="inlineStr">
        <is>
          <t>P0</t>
        </is>
      </c>
      <c r="G5" s="25" t="inlineStr">
        <is>
          <t>☑</t>
        </is>
      </c>
      <c r="H5" s="68" t="inlineStr">
        <is>
          <t>AM - Aisha</t>
        </is>
      </c>
      <c r="I5" s="27" t="inlineStr">
        <is>
          <t>Platform</t>
        </is>
      </c>
      <c r="J5" s="29" t="inlineStr">
        <is>
          <t>DONE</t>
        </is>
      </c>
    </row>
    <row r="6" ht="23.25" customHeight="1" s="110">
      <c r="A6" s="4" t="inlineStr">
        <is>
          <t>File Storage</t>
        </is>
      </c>
      <c r="B6" s="4" t="inlineStr">
        <is>
          <t>Local + cloud (implied)</t>
        </is>
      </c>
      <c r="C6" s="4" t="inlineStr">
        <is>
          <t>—</t>
        </is>
      </c>
      <c r="D6" s="30" t="inlineStr">
        <is>
          <t>EXISTS</t>
        </is>
      </c>
      <c r="E6" s="4" t="inlineStr">
        <is>
          <t>Sprint 2.4 - Local + S3 file storage</t>
        </is>
      </c>
      <c r="F6" s="54" t="inlineStr">
        <is>
          <t>P1</t>
        </is>
      </c>
      <c r="G6" s="32" t="inlineStr">
        <is>
          <t>☑</t>
        </is>
      </c>
      <c r="H6" s="66" t="inlineStr">
        <is>
          <t>AM - Aisha</t>
        </is>
      </c>
      <c r="I6" s="5" t="inlineStr">
        <is>
          <t>Platform</t>
        </is>
      </c>
      <c r="J6" s="34" t="inlineStr">
        <is>
          <t>DONE</t>
        </is>
      </c>
    </row>
    <row r="7" ht="15" customHeight="1" s="110">
      <c r="A7" s="8" t="inlineStr">
        <is>
          <t>Process Manager</t>
        </is>
      </c>
      <c r="B7" s="8" t="inlineStr">
        <is>
          <t>PM2 (12 processes)</t>
        </is>
      </c>
      <c r="C7" s="8" t="inlineStr">
        <is>
          <t>Single Fastify + BullMQ workers</t>
        </is>
      </c>
      <c r="D7" s="8" t="inlineStr">
        <is>
          <t>EXISTS</t>
        </is>
      </c>
      <c r="E7" s="8" t="inlineStr">
        <is>
          <t>Workers exist as stubs; need full implementations</t>
        </is>
      </c>
      <c r="F7" s="36" t="inlineStr">
        <is>
          <t>Sprint 2.7 - process-manager with 4 workers</t>
        </is>
      </c>
      <c r="G7" s="32" t="inlineStr">
        <is>
          <t>☑</t>
        </is>
      </c>
      <c r="H7" s="70" t="inlineStr">
        <is>
          <t>AM - Aisha</t>
        </is>
      </c>
      <c r="I7" s="9" t="inlineStr">
        <is>
          <t>Platform</t>
        </is>
      </c>
      <c r="J7" s="38" t="inlineStr">
        <is>
          <t>NOT STARTED</t>
        </is>
      </c>
    </row>
    <row r="8" ht="23.25" customHeight="1" s="110">
      <c r="A8" s="22" t="inlineStr">
        <is>
          <t>Geospatial</t>
        </is>
      </c>
      <c r="B8" s="22" t="inlineStr">
        <is>
          <t>Google Maps + Mapbox APIs</t>
        </is>
      </c>
      <c r="C8" s="22" t="inlineStr">
        <is>
          <t>geo-fence.ts + address.ts</t>
        </is>
      </c>
      <c r="D8" s="24" t="inlineStr">
        <is>
          <t>EXISTS</t>
        </is>
      </c>
      <c r="E8" s="22" t="inlineStr">
        <is>
          <t>Re-enable PostGIS, implement geocoding service, distance matrix, route optimization API</t>
        </is>
      </c>
      <c r="F8" s="24" t="inlineStr">
        <is>
          <t>P0</t>
        </is>
      </c>
      <c r="G8" s="25" t="inlineStr">
        <is>
          <t>☑</t>
        </is>
      </c>
      <c r="H8" s="68" t="inlineStr">
        <is>
          <t>AM - Aisha</t>
        </is>
      </c>
      <c r="I8" s="27" t="inlineStr">
        <is>
          <t>Platform</t>
        </is>
      </c>
      <c r="J8" s="29" t="inlineStr">
        <is>
          <t>DONE</t>
        </is>
      </c>
    </row>
    <row r="9" ht="15" customHeight="1" s="110">
      <c r="A9" s="22" t="inlineStr">
        <is>
          <t>Email Provider</t>
        </is>
      </c>
      <c r="B9" s="22" t="inlineStr">
        <is>
          <t>SendGrid / SMTP (via notification service)</t>
        </is>
      </c>
      <c r="C9" s="22" t="inlineStr">
        <is>
          <t>email/providers + dispatch</t>
        </is>
      </c>
      <c r="D9" s="24" t="inlineStr">
        <is>
          <t>EXISTS</t>
        </is>
      </c>
      <c r="E9" s="22" t="inlineStr">
        <is>
          <t>Email sending integration, template rendering, delivery tracking</t>
        </is>
      </c>
      <c r="F9" s="24" t="inlineStr">
        <is>
          <t>P0</t>
        </is>
      </c>
      <c r="G9" s="25" t="inlineStr">
        <is>
          <t>☑</t>
        </is>
      </c>
      <c r="H9" s="40" t="inlineStr">
        <is>
          <t>SP - Sanya</t>
        </is>
      </c>
      <c r="I9" s="27" t="inlineStr">
        <is>
          <t>Integrations</t>
        </is>
      </c>
      <c r="J9" s="29" t="inlineStr">
        <is>
          <t>DONE</t>
        </is>
      </c>
    </row>
    <row r="10" ht="15" customHeight="1" s="110">
      <c r="A10" s="22" t="inlineStr">
        <is>
          <t>SMS Provider</t>
        </is>
      </c>
      <c r="B10" s="22" t="inlineStr">
        <is>
          <t>Twilio (via smsService)</t>
        </is>
      </c>
      <c r="C10" s="22" t="inlineStr">
        <is>
          <t>sms/providers + dispatch</t>
        </is>
      </c>
      <c r="D10" s="24" t="inlineStr">
        <is>
          <t>EXISTS</t>
        </is>
      </c>
      <c r="E10" s="22" t="inlineStr">
        <is>
          <t>SMS sending, delivery receipts, phone number validation</t>
        </is>
      </c>
      <c r="F10" s="23" t="inlineStr">
        <is>
          <t>P1</t>
        </is>
      </c>
      <c r="G10" s="25" t="inlineStr">
        <is>
          <t>☑</t>
        </is>
      </c>
      <c r="H10" s="40" t="inlineStr">
        <is>
          <t>SP - Sanya</t>
        </is>
      </c>
      <c r="I10" s="27" t="inlineStr">
        <is>
          <t>Integrations</t>
        </is>
      </c>
      <c r="J10" s="29" t="inlineStr">
        <is>
          <t>DONE</t>
        </is>
      </c>
    </row>
    <row r="11" ht="23.25" customHeight="1" s="110">
      <c r="A11" s="8" t="inlineStr">
        <is>
          <t>WhatsApp</t>
        </is>
      </c>
      <c r="B11" s="8" t="inlineStr">
        <is>
          <t>Meta Cloud API (via whatsApp services)</t>
        </is>
      </c>
      <c r="C11" s="8" t="inlineStr">
        <is>
          <t>—</t>
        </is>
      </c>
      <c r="D11" s="30" t="inlineStr">
        <is>
          <t>MISSING</t>
        </is>
      </c>
      <c r="E11" s="8" t="inlineStr">
        <is>
          <t>WhatsApp Business API: template management, message sending, webhook handling</t>
        </is>
      </c>
      <c r="F11" s="36" t="inlineStr">
        <is>
          <t>P1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15" customHeight="1" s="110">
      <c r="A12" s="4" t="inlineStr">
        <is>
          <t>Push Notifications</t>
        </is>
      </c>
      <c r="B12" s="4" t="inlineStr">
        <is>
          <t>Firebase Cloud Messaging</t>
        </is>
      </c>
      <c r="C12" s="4" t="inlineStr">
        <is>
          <t>push-handler.ts (FCM)</t>
        </is>
      </c>
      <c r="D12" s="30" t="inlineStr">
        <is>
          <t>PARTIAL</t>
        </is>
      </c>
      <c r="E12" s="4" t="inlineStr">
        <is>
          <t>FCM integration for driver app push notifications</t>
        </is>
      </c>
      <c r="F12" s="54" t="inlineStr">
        <is>
          <t>P1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Authentication</t>
        </is>
      </c>
      <c r="B13" s="22" t="inlineStr">
        <is>
          <t>JWT + cookie sessions + Shopify session tokens</t>
        </is>
      </c>
      <c r="C13" s="22" t="inlineStr">
        <is>
          <t>JWT + requireAuth middleware</t>
        </is>
      </c>
      <c r="D13" s="23" t="inlineStr">
        <is>
          <t>EXISTS</t>
        </is>
      </c>
      <c r="E13" s="22" t="inlineStr">
        <is>
          <t>Need: JWT implementation, refresh tokens, Shopify session bridge, dashboard auth middleware</t>
        </is>
      </c>
      <c r="F13" s="24" t="inlineStr">
        <is>
          <t>P0</t>
        </is>
      </c>
      <c r="G13" s="25" t="inlineStr">
        <is>
          <t>☑</t>
        </is>
      </c>
      <c r="H13" s="35" t="inlineStr">
        <is>
          <t>AR - Arjun</t>
        </is>
      </c>
      <c r="I13" s="27" t="inlineStr">
        <is>
          <t>Architecture</t>
        </is>
      </c>
      <c r="J13" s="28" t="inlineStr">
        <is>
          <t>DONE</t>
        </is>
      </c>
    </row>
    <row r="14" ht="15" customHeight="1" s="110">
      <c r="A14" s="4" t="inlineStr">
        <is>
          <t>Rate Limiting</t>
        </is>
      </c>
      <c r="B14" s="4" t="inlineStr">
        <is>
          <t>stopcock library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Sprint 2.4 - Token bucket rate limiter</t>
        </is>
      </c>
      <c r="F14" s="54" t="inlineStr">
        <is>
          <t>P1</t>
        </is>
      </c>
      <c r="G14" s="32" t="inlineStr">
        <is>
          <t>☑</t>
        </is>
      </c>
      <c r="H14" s="66" t="inlineStr">
        <is>
          <t>AM - Aisha</t>
        </is>
      </c>
      <c r="I14" s="5" t="inlineStr">
        <is>
          <t>Platform</t>
        </is>
      </c>
      <c r="J14" s="34" t="inlineStr">
        <is>
          <t>DONE</t>
        </is>
      </c>
    </row>
    <row r="15" ht="15" customHeight="1" s="110">
      <c r="A15" s="8" t="inlineStr">
        <is>
          <t>Monitoring</t>
        </is>
      </c>
      <c r="B15" s="8" t="inlineStr">
        <is>
          <t>Sentry + FullStory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Sprint 2.4 - MetricsCollector + HealthCheckRegistry</t>
        </is>
      </c>
      <c r="F15" s="52" t="inlineStr">
        <is>
          <t>P2</t>
        </is>
      </c>
      <c r="G15" s="32" t="inlineStr">
        <is>
          <t>☑</t>
        </is>
      </c>
      <c r="H15" s="70" t="inlineStr">
        <is>
          <t>AM - Aisha</t>
        </is>
      </c>
      <c r="I15" s="9" t="inlineStr">
        <is>
          <t>Platform</t>
        </is>
      </c>
      <c r="J15" s="38" t="inlineStr">
        <is>
          <t>DONE</t>
        </is>
      </c>
    </row>
    <row r="16" ht="15" customHeight="1" s="110">
      <c r="A16" s="22" t="inlineStr">
        <is>
          <t>CI/CD</t>
        </is>
      </c>
      <c r="B16" s="22" t="inlineStr">
        <is>
          <t>Docker + AWS/Azure scripts</t>
        </is>
      </c>
      <c r="C16" s="22" t="inlineStr">
        <is>
          <t>Dockerfile + CI/CD + docker-compose</t>
        </is>
      </c>
      <c r="D16" s="24" t="inlineStr">
        <is>
          <t>EXISTS</t>
        </is>
      </c>
      <c r="E16" s="22" t="inlineStr">
        <is>
          <t>Sprint 2.3 - GitHub Actions workflows</t>
        </is>
      </c>
      <c r="F16" s="23" t="inlineStr">
        <is>
          <t>P1</t>
        </is>
      </c>
      <c r="G16" s="25" t="inlineStr">
        <is>
          <t>☑</t>
        </is>
      </c>
      <c r="H16" s="68" t="inlineStr">
        <is>
          <t>AM - Aisha</t>
        </is>
      </c>
      <c r="I16" s="27" t="inlineStr">
        <is>
          <t>Platform</t>
        </is>
      </c>
      <c r="J16" s="29" t="inlineStr">
        <is>
          <t>DONE</t>
        </is>
      </c>
    </row>
    <row r="17" ht="15" customHeight="1" s="110">
      <c r="A17" s="8" t="inlineStr">
        <is>
          <t>Data Migration</t>
        </is>
      </c>
      <c r="B17" s="8" t="inlineStr">
        <is>
          <t>—</t>
        </is>
      </c>
      <c r="C17" s="8" t="inlineStr">
        <is>
          <t>packages/core/src/migration/ (mongodb-adapter, transformers, runner-v2)</t>
        </is>
      </c>
      <c r="D17" s="30" t="inlineStr">
        <is>
          <t>EXISTS</t>
        </is>
      </c>
      <c r="E17" s="8" t="inlineStr">
        <is>
          <t>MongoDB→PostgreSQL with idempotent upsert, checkpointing, 7 entity transformers</t>
        </is>
      </c>
      <c r="F17" s="47" t="inlineStr">
        <is>
          <t>P0</t>
        </is>
      </c>
      <c r="G17" s="32" t="inlineStr">
        <is>
          <t>☑</t>
        </is>
      </c>
      <c r="H17" s="58" t="inlineStr">
        <is>
          <t>PK - Priya</t>
        </is>
      </c>
      <c r="I17" s="9" t="inlineStr">
        <is>
          <t>Core Backend</t>
        </is>
      </c>
      <c r="J17" s="46" t="inlineStr">
        <is>
          <t>DONE</t>
        </is>
      </c>
    </row>
    <row r="18" ht="23.25" customHeight="1" s="110">
      <c r="A18" s="4" t="inlineStr">
        <is>
          <t>PostGIS Extension</t>
        </is>
      </c>
      <c r="B18" s="4" t="inlineStr">
        <is>
          <t>N/A (used Google/Mapbox)</t>
        </is>
      </c>
      <c r="C18" s="4" t="inlineStr">
        <is>
          <t>packages/core/src/spatial/ (PostGIS queries + GeoJSON types)</t>
        </is>
      </c>
      <c r="D18" s="30" t="inlineStr">
        <is>
          <t>EXISTS</t>
        </is>
      </c>
      <c r="E18" s="4" t="inlineStr">
        <is>
          <t>Parameterized SQL for ST_Distance, ST_Contains, ST_Within; Haversine fallback</t>
        </is>
      </c>
      <c r="F18" s="31" t="inlineStr">
        <is>
          <t>P0</t>
        </is>
      </c>
      <c r="G18" s="32" t="inlineStr">
        <is>
          <t>☑</t>
        </is>
      </c>
      <c r="H18" s="66" t="inlineStr">
        <is>
          <t>AM - Aisha</t>
        </is>
      </c>
      <c r="I18" s="5" t="inlineStr">
        <is>
          <t>Platform</t>
        </is>
      </c>
      <c r="J18" s="46" t="inlineStr">
        <is>
          <t>DONE</t>
        </is>
      </c>
    </row>
    <row r="19" ht="23.25" customHeight="1" s="110">
      <c r="A19" s="8" t="inlineStr">
        <is>
          <t>Cron / Scheduler</t>
        </is>
      </c>
      <c r="B19" s="8" t="inlineStr">
        <is>
          <t>PM2 cron + event scheduler queue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Sprint 2.4 - Cron-based scheduler</t>
        </is>
      </c>
      <c r="F19" s="36" t="inlineStr">
        <is>
          <t>P1</t>
        </is>
      </c>
      <c r="G19" s="32" t="inlineStr">
        <is>
          <t>☑</t>
        </is>
      </c>
      <c r="H19" s="70" t="inlineStr">
        <is>
          <t>AM - Aisha</t>
        </is>
      </c>
      <c r="I19" s="9" t="inlineStr">
        <is>
          <t>Platform</t>
        </is>
      </c>
      <c r="J19" s="38" t="inlineStr">
        <is>
          <t>DONE</t>
        </is>
      </c>
    </row>
    <row r="20" ht="15" customHeight="1" s="110">
      <c r="A20" s="4" t="inlineStr">
        <is>
          <t>Logging</t>
        </is>
      </c>
      <c r="B20" s="4" t="inlineStr">
        <is>
          <t>Console + implied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Structured logging (Pino), log aggregation, request tracing</t>
        </is>
      </c>
      <c r="F20" s="50" t="inlineStr">
        <is>
          <t>P2</t>
        </is>
      </c>
      <c r="G20" s="32" t="inlineStr">
        <is>
          <t>☑</t>
        </is>
      </c>
      <c r="H20" s="66" t="inlineStr">
        <is>
          <t>AM - Aisha</t>
        </is>
      </c>
      <c r="I20" s="5" t="inlineStr">
        <is>
          <t>Platform</t>
        </is>
      </c>
      <c r="J20" s="34" t="inlineStr">
        <is>
          <t>DONE</t>
        </is>
      </c>
    </row>
    <row r="21" ht="23.25" customHeight="1" s="110">
      <c r="A21" s="8" t="inlineStr">
        <is>
          <t>Encryption</t>
        </is>
      </c>
      <c r="B21" s="8" t="inlineStr">
        <is>
          <t>Implied for tokens</t>
        </is>
      </c>
      <c r="C21" s="8" t="inlineStr">
        <is>
          <t>Planned for credentials</t>
        </is>
      </c>
      <c r="D21" s="69" t="inlineStr">
        <is>
          <t>PARTIAL</t>
        </is>
      </c>
      <c r="E21" s="8" t="inlineStr">
        <is>
          <t>Need: credential encryption at rest (Integration model), token encryption, PII protection</t>
        </is>
      </c>
      <c r="F21" s="36" t="inlineStr">
        <is>
          <t>P1</t>
        </is>
      </c>
      <c r="G21" s="32" t="inlineStr">
        <is>
          <t>☑</t>
        </is>
      </c>
      <c r="H21" s="37" t="inlineStr">
        <is>
          <t>AR - Arjun</t>
        </is>
      </c>
      <c r="I21" s="9" t="inlineStr">
        <is>
          <t>Architecture</t>
        </is>
      </c>
      <c r="J21" s="38" t="inlineStr">
        <is>
          <t>DONE</t>
        </is>
      </c>
    </row>
    <row r="22" ht="15" customHeight="1" s="110">
      <c r="A22" s="65" t="inlineStr">
        <is>
          <t>GDPR Compliance</t>
        </is>
      </c>
      <c r="B22" s="65" t="inlineStr">
        <is>
          <t>— (none)</t>
        </is>
      </c>
      <c r="C22" s="65" t="inlineStr">
        <is>
          <t>packages/core/src/compliance/</t>
        </is>
      </c>
      <c r="D22" s="65" t="inlineStr">
        <is>
          <t>EXISTS</t>
        </is>
      </c>
      <c r="E22" s="65" t="inlineStr">
        <is>
          <t>— (anonymizer, consent, retention, audit)</t>
        </is>
      </c>
      <c r="F22" s="65" t="inlineStr">
        <is>
          <t>P2</t>
        </is>
      </c>
      <c r="G22" s="65" t="inlineStr">
        <is>
          <t>☑</t>
        </is>
      </c>
      <c r="H22" s="65" t="inlineStr">
        <is>
          <t>DM</t>
        </is>
      </c>
      <c r="I22" s="65" t="inlineStr">
        <is>
          <t>Data</t>
        </is>
      </c>
      <c r="J22" s="65" t="inlineStr">
        <is>
          <t>DONE</t>
        </is>
      </c>
    </row>
    <row r="23" ht="15" customHeight="1" s="110">
      <c r="A23" s="65" t="inlineStr">
        <is>
          <t>HMAC Webhook Verification</t>
        </is>
      </c>
      <c r="B23" s="65" t="inlineStr">
        <is>
          <t>— (none)</t>
        </is>
      </c>
      <c r="C23" s="65" t="inlineStr">
        <is>
          <t>middleware/hmac.ts</t>
        </is>
      </c>
      <c r="D23" s="65" t="inlineStr">
        <is>
          <t>EXISTS</t>
        </is>
      </c>
      <c r="E23" s="65" t="inlineStr">
        <is>
          <t>— (Shopify HMAC validation)</t>
        </is>
      </c>
      <c r="F23" s="65" t="inlineStr">
        <is>
          <t>P1</t>
        </is>
      </c>
      <c r="G23" s="65" t="inlineStr">
        <is>
          <t>☑</t>
        </is>
      </c>
      <c r="H23" s="65" t="inlineStr">
        <is>
          <t>RG</t>
        </is>
      </c>
      <c r="I23" s="65" t="inlineStr">
        <is>
          <t>Backend</t>
        </is>
      </c>
      <c r="J23" s="65" t="inlineStr">
        <is>
          <t>DONE</t>
        </is>
      </c>
    </row>
    <row r="24" ht="15" customHeight="1" s="110">
      <c r="A24" s="65" t="inlineStr">
        <is>
          <t>E2E Test Suites</t>
        </is>
      </c>
      <c r="B24" s="65" t="inlineStr">
        <is>
          <t>— (none)</t>
        </is>
      </c>
      <c r="C24" s="65" t="inlineStr">
        <is>
          <t>7 test files (4,439 lines)</t>
        </is>
      </c>
      <c r="D24" s="65" t="inlineStr">
        <is>
          <t>EXISTS</t>
        </is>
      </c>
      <c r="E24" s="65" t="inlineStr">
        <is>
          <t>— (compliance, cache, API tests)</t>
        </is>
      </c>
      <c r="F24" s="65" t="inlineStr">
        <is>
          <t>P2</t>
        </is>
      </c>
      <c r="G24" s="65" t="inlineStr">
        <is>
          <t>☑</t>
        </is>
      </c>
      <c r="H24" s="65" t="inlineStr">
        <is>
          <t>KS</t>
        </is>
      </c>
      <c r="I24" s="65" t="inlineStr">
        <is>
          <t>QA</t>
        </is>
      </c>
      <c r="J24" s="65" t="inlineStr">
        <is>
          <t>DONE</t>
        </is>
      </c>
    </row>
    <row r="26">
      <c r="A26" s="108" t="inlineStr">
        <is>
          <t>SPRINT 2.8 PLANNED</t>
        </is>
      </c>
    </row>
    <row r="27">
      <c r="A27" t="inlineStr">
        <is>
          <t>Auth Provider Abstraction</t>
        </is>
      </c>
      <c r="B27" t="inlineStr">
        <is>
          <t>— (new)</t>
        </is>
      </c>
      <c r="C27" t="inlineStr">
        <is>
          <t>packages/core/src/auth/</t>
        </is>
      </c>
      <c r="D27" t="inlineStr">
        <is>
          <t>PLANNED</t>
        </is>
      </c>
      <c r="E27" t="inlineStr">
        <is>
          <t>Multi-provider auth registry: Auth0, Clerk, AWS Cognito, Firebase Auth, generic OIDC, SAML 2.0 — same pattern as routing BYOK</t>
        </is>
      </c>
      <c r="F27" t="inlineStr">
        <is>
          <t>P1</t>
        </is>
      </c>
      <c r="G27" t="inlineStr">
        <is>
          <t>☐</t>
        </is>
      </c>
      <c r="H27" t="inlineStr">
        <is>
          <t>AR - Arjun</t>
        </is>
      </c>
    </row>
    <row r="28">
      <c r="A28" t="inlineStr">
        <is>
          <t>Docker Production Stack</t>
        </is>
      </c>
      <c r="B28" t="inlineStr">
        <is>
          <t>Docker + Azure scripts</t>
        </is>
      </c>
      <c r="C28" t="inlineStr">
        <is>
          <t>infra/docker/</t>
        </is>
      </c>
      <c r="D28" t="inlineStr">
        <is>
          <t>PLANNED</t>
        </is>
      </c>
      <c r="E28" t="inlineStr">
        <is>
          <t>Multi-stage Dockerfiles, compose.prod.yml, Traefik reverse proxy, health checks, secrets management</t>
        </is>
      </c>
      <c r="F28" t="inlineStr">
        <is>
          <t>P1</t>
        </is>
      </c>
      <c r="G28" t="inlineStr">
        <is>
          <t>☐</t>
        </is>
      </c>
      <c r="H28" t="inlineStr">
        <is>
          <t>AM - Aisha</t>
        </is>
      </c>
    </row>
    <row r="29">
      <c r="A29" t="inlineStr">
        <is>
          <t>OpenAPI Spec</t>
        </is>
      </c>
      <c r="B29" t="inlineStr">
        <is>
          <t>— (new)</t>
        </is>
      </c>
      <c r="C29" t="inlineStr">
        <is>
          <t>docs/openapi.yaml</t>
        </is>
      </c>
      <c r="D29" t="inlineStr">
        <is>
          <t>PLANNED</t>
        </is>
      </c>
      <c r="E29" t="inlineStr">
        <is>
          <t>Auto-generated OpenAPI 3.1 spec from Fastify schemas, Swagger UI at /docs</t>
        </is>
      </c>
      <c r="F29" t="inlineStr">
        <is>
          <t>P2</t>
        </is>
      </c>
      <c r="G29" t="inlineStr">
        <is>
          <t>☐</t>
        </is>
      </c>
      <c r="H29" t="inlineStr">
        <is>
          <t>PK - Priya</t>
        </is>
      </c>
    </row>
    <row r="31">
      <c r="A31" s="129" t="inlineStr">
        <is>
          <t>DESIGN SYSTEM INFRA (Sprint 3.0)</t>
        </is>
      </c>
      <c r="B31" s="130" t="n"/>
      <c r="C31" s="130" t="n"/>
      <c r="D31" s="130" t="n"/>
    </row>
    <row r="32">
      <c r="A32" s="132" t="inlineStr">
        <is>
          <t>Tailwind CSS 4</t>
        </is>
      </c>
      <c r="B32" s="132" t="inlineStr">
        <is>
          <t>PostCSS + Tailwind setup with --wl-* token bridge</t>
        </is>
      </c>
      <c r="C32" s="132" t="inlineStr">
        <is>
          <t>Sprint 3.0</t>
        </is>
      </c>
      <c r="D32" s="132" t="inlineStr">
        <is>
          <t>Planned</t>
        </is>
      </c>
    </row>
    <row r="33">
      <c r="A33" s="132" t="inlineStr">
        <is>
          <t>shadcn/ui Registry</t>
        </is>
      </c>
      <c r="B33" s="132" t="inlineStr">
        <is>
          <t>Component registry with Witylogix dark theme preset</t>
        </is>
      </c>
      <c r="C33" s="132" t="inlineStr">
        <is>
          <t>Sprint 3.0</t>
        </is>
      </c>
      <c r="D33" s="132" t="inlineStr">
        <is>
          <t>Planned</t>
        </is>
      </c>
    </row>
    <row r="34">
      <c r="A34" s="132" t="inlineStr">
        <is>
          <t>Redis Streams</t>
        </is>
      </c>
      <c r="B34" s="132" t="inlineStr">
        <is>
          <t>Event bus persistence layer for reliable pub/sub</t>
        </is>
      </c>
      <c r="C34" s="132" t="inlineStr">
        <is>
          <t>Sprint 3.0</t>
        </is>
      </c>
      <c r="D34" s="13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>
      <formula1>"☐,☑"</formula1>
      <formula2>0</formula2>
    </dataValidation>
    <dataValidation sqref="H2:H21" showDropDown="0" showInputMessage="0" showErrorMessage="0" allowBlank="1" type="list">
      <formula1>"AR,PK,VS,NK,DM,SP,RG,AM,KS,PAIR,ALL"</formula1>
      <formula2>0</formula2>
    </dataValidation>
    <dataValidation sqref="J2:J21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4ADE80"/>
    <outlinePr summaryBelow="1" summaryRight="1"/>
    <pageSetUpPr/>
  </sheetPr>
  <dimension ref="A1:K55"/>
  <sheetViews>
    <sheetView tabSelected="1" zoomScaleNormal="100" workbookViewId="0">
      <pane ySplit="1" topLeftCell="A13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10" customWidth="1" style="110" min="2" max="2"/>
    <col width="55" customWidth="1" style="110" min="3" max="3"/>
    <col width="20" customWidth="1" style="110" min="4" max="4"/>
    <col width="12" customWidth="1" style="110" min="5" max="5"/>
    <col width="28" customWidth="1" style="110" min="6" max="6"/>
    <col width="50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15" customHeight="1" s="110">
      <c r="A1" s="1" t="inlineStr">
        <is>
          <t>Phase</t>
        </is>
      </c>
      <c r="B1" s="1" t="inlineStr">
        <is>
          <t>Sprint</t>
        </is>
      </c>
      <c r="C1" s="1" t="inlineStr">
        <is>
          <t>Work Item</t>
        </is>
      </c>
      <c r="D1" s="1" t="inlineStr">
        <is>
          <t>Category</t>
        </is>
      </c>
      <c r="E1" s="1" t="inlineStr">
        <is>
          <t>Est. Effort</t>
        </is>
      </c>
      <c r="F1" s="1" t="inlineStr">
        <is>
          <t>Dependencies</t>
        </is>
      </c>
      <c r="G1" s="1" t="inlineStr">
        <is>
          <t>Deliverable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15" customHeight="1" s="110">
      <c r="A2" s="24" t="inlineStr">
        <is>
          <t>Phase 1: Foundation</t>
        </is>
      </c>
      <c r="B2" s="22" t="inlineStr">
        <is>
          <t>1-2</t>
        </is>
      </c>
      <c r="C2" s="22" t="inlineStr">
        <is>
          <t>Authentication system (JWT, login, register, password reset)</t>
        </is>
      </c>
      <c r="D2" s="22" t="inlineStr">
        <is>
          <t>Backend + Frontend</t>
        </is>
      </c>
      <c r="E2" s="22" t="inlineStr">
        <is>
          <t>2 weeks</t>
        </is>
      </c>
      <c r="F2" s="22" t="inlineStr">
        <is>
          <t>—</t>
        </is>
      </c>
      <c r="G2" s="22" t="inlineStr">
        <is>
          <t>Auth middleware, login/register pages, session management</t>
        </is>
      </c>
      <c r="H2" s="25" t="inlineStr">
        <is>
          <t>☑</t>
        </is>
      </c>
      <c r="I2" s="35" t="inlineStr">
        <is>
          <t>AR - Arjun</t>
        </is>
      </c>
      <c r="J2" s="27" t="inlineStr">
        <is>
          <t>Architecture</t>
        </is>
      </c>
      <c r="K2" s="29" t="inlineStr">
        <is>
          <t>DONE</t>
        </is>
      </c>
    </row>
    <row r="3" ht="15" customHeight="1" s="110">
      <c r="A3" s="24" t="inlineStr">
        <is>
          <t>Phase 1: Foundation</t>
        </is>
      </c>
      <c r="B3" s="22" t="inlineStr">
        <is>
          <t>1-2</t>
        </is>
      </c>
      <c r="C3" s="22" t="inlineStr">
        <is>
          <t>PostGIS re-enable + geocoding service</t>
        </is>
      </c>
      <c r="D3" s="22" t="inlineStr">
        <is>
          <t>Backend + Infra</t>
        </is>
      </c>
      <c r="E3" s="22" t="inlineStr">
        <is>
          <t>1 week</t>
        </is>
      </c>
      <c r="F3" s="22" t="inlineStr">
        <is>
          <t>—</t>
        </is>
      </c>
      <c r="G3" s="22" t="inlineStr">
        <is>
          <t>Spatial queries, point-in-polygon, distance calc</t>
        </is>
      </c>
      <c r="H3" s="25" t="inlineStr">
        <is>
          <t>☑</t>
        </is>
      </c>
      <c r="I3" s="68" t="inlineStr">
        <is>
          <t>AM - Aisha</t>
        </is>
      </c>
      <c r="J3" s="27" t="inlineStr">
        <is>
          <t>Platform</t>
        </is>
      </c>
      <c r="K3" s="29" t="inlineStr">
        <is>
          <t>DONE</t>
        </is>
      </c>
    </row>
    <row r="4" ht="15" customHeight="1" s="110">
      <c r="A4" s="24" t="inlineStr">
        <is>
          <t>Phase 1: Foundation</t>
        </is>
      </c>
      <c r="B4" s="22" t="inlineStr">
        <is>
          <t>1-2</t>
        </is>
      </c>
      <c r="C4" s="22" t="inlineStr">
        <is>
          <t>Shipment model + migration</t>
        </is>
      </c>
      <c r="D4" s="22" t="inlineStr">
        <is>
          <t>Backend</t>
        </is>
      </c>
      <c r="E4" s="22" t="inlineStr">
        <is>
          <t>1 week</t>
        </is>
      </c>
      <c r="F4" s="22" t="inlineStr">
        <is>
          <t>—</t>
        </is>
      </c>
      <c r="G4" s="22" t="inlineStr">
        <is>
          <t>Prisma schema + API routes for shipments</t>
        </is>
      </c>
      <c r="H4" s="25" t="inlineStr">
        <is>
          <t>☑</t>
        </is>
      </c>
      <c r="I4" s="26" t="inlineStr">
        <is>
          <t>PK - Priya</t>
        </is>
      </c>
      <c r="J4" s="27" t="inlineStr">
        <is>
          <t>Core Backend</t>
        </is>
      </c>
      <c r="K4" s="29" t="inlineStr">
        <is>
          <t>DONE</t>
        </is>
      </c>
    </row>
    <row r="5" ht="15" customHeight="1" s="110">
      <c r="A5" s="24" t="inlineStr">
        <is>
          <t>Phase 1: Foundation</t>
        </is>
      </c>
      <c r="B5" s="22" t="inlineStr">
        <is>
          <t>2-3</t>
        </is>
      </c>
      <c r="C5" s="22" t="inlineStr">
        <is>
          <t>Location/Warehouse model + CRUD</t>
        </is>
      </c>
      <c r="D5" s="22" t="inlineStr">
        <is>
          <t>Backend + Frontend</t>
        </is>
      </c>
      <c r="E5" s="22" t="inlineStr">
        <is>
          <t>2 weeks</t>
        </is>
      </c>
      <c r="F5" s="22" t="inlineStr">
        <is>
          <t>PostGIS</t>
        </is>
      </c>
      <c r="G5" s="22" t="inlineStr">
        <is>
          <t>Location management pages + API</t>
        </is>
      </c>
      <c r="H5" s="25" t="inlineStr">
        <is>
          <t>☑</t>
        </is>
      </c>
      <c r="I5" s="49" t="inlineStr">
        <is>
          <t>VS - Vikram</t>
        </is>
      </c>
      <c r="J5" s="27" t="inlineStr">
        <is>
          <t>Core Backend</t>
        </is>
      </c>
      <c r="K5" s="29" t="inlineStr">
        <is>
          <t>DONE</t>
        </is>
      </c>
    </row>
    <row r="6" ht="15" customHeight="1" s="110">
      <c r="A6" s="24" t="inlineStr">
        <is>
          <t>Phase 1: Foundation</t>
        </is>
      </c>
      <c r="B6" s="22" t="inlineStr">
        <is>
          <t>2-3</t>
        </is>
      </c>
      <c r="C6" s="22" t="inlineStr">
        <is>
          <t>Calendar rules + delivery rules engine</t>
        </is>
      </c>
      <c r="D6" s="22" t="inlineStr">
        <is>
          <t>Backend</t>
        </is>
      </c>
      <c r="E6" s="22" t="inlineStr">
        <is>
          <t>2 weeks</t>
        </is>
      </c>
      <c r="F6" s="22" t="inlineStr">
        <is>
          <t>—</t>
        </is>
      </c>
      <c r="G6" s="22" t="inlineStr">
        <is>
          <t>Scheduling engine, blackout dates, time windows</t>
        </is>
      </c>
      <c r="H6" s="25" t="inlineStr">
        <is>
          <t>☑</t>
        </is>
      </c>
      <c r="I6" s="49" t="inlineStr">
        <is>
          <t>VS - Vikram</t>
        </is>
      </c>
      <c r="J6" s="27" t="inlineStr">
        <is>
          <t>Core Backend</t>
        </is>
      </c>
      <c r="K6" s="29" t="inlineStr">
        <is>
          <t>DONE</t>
        </is>
      </c>
    </row>
    <row r="7" ht="15" customHeight="1" s="110">
      <c r="A7" s="24" t="inlineStr">
        <is>
          <t>Phase 1: Foundation</t>
        </is>
      </c>
      <c r="B7" s="22" t="inlineStr">
        <is>
          <t>3-4</t>
        </is>
      </c>
      <c r="C7" s="22" t="inlineStr">
        <is>
          <t>Shipping profile system</t>
        </is>
      </c>
      <c r="D7" s="22" t="inlineStr">
        <is>
          <t>Backend + Frontend</t>
        </is>
      </c>
      <c r="E7" s="22" t="inlineStr">
        <is>
          <t>2 weeks</t>
        </is>
      </c>
      <c r="F7" s="22" t="inlineStr">
        <is>
          <t>Locations, Zones, Rules</t>
        </is>
      </c>
      <c r="G7" s="22" t="inlineStr">
        <is>
          <t>Rate calculation, profile management UI</t>
        </is>
      </c>
      <c r="H7" s="25" t="inlineStr">
        <is>
          <t>☑</t>
        </is>
      </c>
      <c r="I7" s="49" t="inlineStr">
        <is>
          <t>VS - Vikram</t>
        </is>
      </c>
      <c r="J7" s="27" t="inlineStr">
        <is>
          <t>Core Backend</t>
        </is>
      </c>
      <c r="K7" s="29" t="inlineStr">
        <is>
          <t>DONE</t>
        </is>
      </c>
    </row>
    <row r="8" ht="15" customHeight="1" s="110">
      <c r="A8" s="23" t="inlineStr">
        <is>
          <t>Phase 2: Core Ops</t>
        </is>
      </c>
      <c r="B8" s="22" t="inlineStr">
        <is>
          <t>5-6</t>
        </is>
      </c>
      <c r="C8" s="22" t="inlineStr">
        <is>
          <t>Order CRUD (full lifecycle + manual creation)</t>
        </is>
      </c>
      <c r="D8" s="22" t="inlineStr">
        <is>
          <t>Backend + Frontend</t>
        </is>
      </c>
      <c r="E8" s="22" t="inlineStr">
        <is>
          <t>2 weeks</t>
        </is>
      </c>
      <c r="F8" s="22" t="inlineStr">
        <is>
          <t>Auth</t>
        </is>
      </c>
      <c r="G8" s="22" t="inlineStr">
        <is>
          <t>Order create page, detail page, status management</t>
        </is>
      </c>
      <c r="H8" s="25" t="inlineStr">
        <is>
          <t>☑</t>
        </is>
      </c>
      <c r="I8" s="26" t="inlineStr">
        <is>
          <t>PK - Priya</t>
        </is>
      </c>
      <c r="J8" s="27" t="inlineStr">
        <is>
          <t>Core Backend</t>
        </is>
      </c>
      <c r="K8" s="29" t="inlineStr">
        <is>
          <t>DONE</t>
        </is>
      </c>
    </row>
    <row r="9" ht="15" customHeight="1" s="110">
      <c r="A9" s="23" t="inlineStr">
        <is>
          <t>Phase 2: Core Ops</t>
        </is>
      </c>
      <c r="B9" s="22" t="inlineStr">
        <is>
          <t>5-6</t>
        </is>
      </c>
      <c r="C9" s="22" t="inlineStr">
        <is>
          <t>Shipment lifecycle (create, track, deliver)</t>
        </is>
      </c>
      <c r="D9" s="22" t="inlineStr">
        <is>
          <t>Backend + Frontend</t>
        </is>
      </c>
      <c r="E9" s="22" t="inlineStr">
        <is>
          <t>3 weeks</t>
        </is>
      </c>
      <c r="F9" s="22" t="inlineStr">
        <is>
          <t>Shipment model, Orders</t>
        </is>
      </c>
      <c r="G9" s="22" t="inlineStr">
        <is>
          <t>Shipment pages, status transitions, POD</t>
        </is>
      </c>
      <c r="H9" s="25" t="inlineStr">
        <is>
          <t>☑</t>
        </is>
      </c>
      <c r="I9" s="26" t="inlineStr">
        <is>
          <t>PK - Priya</t>
        </is>
      </c>
      <c r="J9" s="27" t="inlineStr">
        <is>
          <t>Core Backend</t>
        </is>
      </c>
      <c r="K9" s="29" t="inlineStr">
        <is>
          <t>DONE</t>
        </is>
      </c>
    </row>
    <row r="10" ht="15" customHeight="1" s="110">
      <c r="A10" s="23" t="inlineStr">
        <is>
          <t>Phase 2: Core Ops</t>
        </is>
      </c>
      <c r="B10" s="22" t="inlineStr">
        <is>
          <t>6-7</t>
        </is>
      </c>
      <c r="C10" s="22" t="inlineStr">
        <is>
          <t>Route optimization (Mapbox/Google integration)</t>
        </is>
      </c>
      <c r="D10" s="22" t="inlineStr">
        <is>
          <t>Backend</t>
        </is>
      </c>
      <c r="E10" s="22" t="inlineStr">
        <is>
          <t>2 weeks</t>
        </is>
      </c>
      <c r="F10" s="22" t="inlineStr">
        <is>
          <t>PostGIS, Drivers</t>
        </is>
      </c>
      <c r="G10" s="22" t="inlineStr">
        <is>
          <t>Distance matrix, route optimization API</t>
        </is>
      </c>
      <c r="H10" s="25" t="inlineStr">
        <is>
          <t>☑</t>
        </is>
      </c>
      <c r="I10" s="49" t="inlineStr">
        <is>
          <t>VS - Vikram</t>
        </is>
      </c>
      <c r="J10" s="27" t="inlineStr">
        <is>
          <t>Core Backend</t>
        </is>
      </c>
      <c r="K10" s="29" t="inlineStr">
        <is>
          <t>DONE</t>
        </is>
      </c>
    </row>
    <row r="11" ht="15" customHeight="1" s="110">
      <c r="A11" s="23" t="inlineStr">
        <is>
          <t>Phase 2: Core Ops</t>
        </is>
      </c>
      <c r="B11" s="22" t="inlineStr">
        <is>
          <t>7-8</t>
        </is>
      </c>
      <c r="C11" s="22" t="inlineStr">
        <is>
          <t>Route creation + editing UI</t>
        </is>
      </c>
      <c r="D11" s="22" t="inlineStr">
        <is>
          <t>Frontend</t>
        </is>
      </c>
      <c r="E11" s="22" t="inlineStr">
        <is>
          <t>2 weeks</t>
        </is>
      </c>
      <c r="F11" s="22" t="inlineStr">
        <is>
          <t>Route optimization</t>
        </is>
      </c>
      <c r="G11" s="22" t="inlineStr">
        <is>
          <t>Route create/edit pages with map + drag/drop</t>
        </is>
      </c>
      <c r="H11" s="25" t="inlineStr">
        <is>
          <t>☑</t>
        </is>
      </c>
      <c r="I11" s="61" t="inlineStr">
        <is>
          <t>DM - Dev</t>
        </is>
      </c>
      <c r="J11" s="27" t="inlineStr">
        <is>
          <t>Frontend</t>
        </is>
      </c>
      <c r="K11" s="29" t="inlineStr">
        <is>
          <t>DONE</t>
        </is>
      </c>
    </row>
    <row r="12" ht="15" customHeight="1" s="110">
      <c r="A12" s="23" t="inlineStr">
        <is>
          <t>Phase 2: Core Ops</t>
        </is>
      </c>
      <c r="B12" s="22" t="inlineStr">
        <is>
          <t>7-8</t>
        </is>
      </c>
      <c r="C12" s="22" t="inlineStr">
        <is>
          <t>Webhook processing (order, product, customer, inventory)</t>
        </is>
      </c>
      <c r="D12" s="22" t="inlineStr">
        <is>
          <t>Backend</t>
        </is>
      </c>
      <c r="E12" s="22" t="inlineStr">
        <is>
          <t>2 weeks</t>
        </is>
      </c>
      <c r="F12" s="22" t="inlineStr">
        <is>
          <t>BullMQ</t>
        </is>
      </c>
      <c r="G12" s="22" t="inlineStr">
        <is>
          <t>Queue consumers for each Shopify webhook type</t>
        </is>
      </c>
      <c r="H12" s="25" t="inlineStr">
        <is>
          <t>☑</t>
        </is>
      </c>
      <c r="I12" s="26" t="inlineStr">
        <is>
          <t>PK - Priya</t>
        </is>
      </c>
      <c r="J12" s="27" t="inlineStr">
        <is>
          <t>Core Backend</t>
        </is>
      </c>
      <c r="K12" s="29" t="inlineStr">
        <is>
          <t>DONE</t>
        </is>
      </c>
    </row>
    <row r="13" ht="15" customHeight="1" s="110">
      <c r="A13" s="23" t="inlineStr">
        <is>
          <t>Phase 2: Core Ops</t>
        </is>
      </c>
      <c r="B13" s="22" t="inlineStr">
        <is>
          <t>8-9</t>
        </is>
      </c>
      <c r="C13" s="22" t="inlineStr">
        <is>
          <t>Shopify sync engine (orders, products, customers, inventory)</t>
        </is>
      </c>
      <c r="D13" s="22" t="inlineStr">
        <is>
          <t>Backend</t>
        </is>
      </c>
      <c r="E13" s="22" t="inlineStr">
        <is>
          <t>3 weeks</t>
        </is>
      </c>
      <c r="F13" s="22" t="inlineStr">
        <is>
          <t>Webhooks, Models</t>
        </is>
      </c>
      <c r="G13" s="22" t="inlineStr">
        <is>
          <t>Full bidirectional Shopify sync</t>
        </is>
      </c>
      <c r="H13" s="25" t="inlineStr">
        <is>
          <t>☑</t>
        </is>
      </c>
      <c r="I13" s="26" t="inlineStr">
        <is>
          <t>PK - Priya</t>
        </is>
      </c>
      <c r="J13" s="27" t="inlineStr">
        <is>
          <t>Core Backend</t>
        </is>
      </c>
      <c r="K13" s="29" t="inlineStr">
        <is>
          <t>DONE</t>
        </is>
      </c>
    </row>
    <row r="14" ht="15" customHeight="1" s="110">
      <c r="A14" s="39" t="inlineStr">
        <is>
          <t>Phase 3: Comms</t>
        </is>
      </c>
      <c r="B14" s="22" t="inlineStr">
        <is>
          <t>10-11</t>
        </is>
      </c>
      <c r="C14" s="22" t="inlineStr">
        <is>
          <t>Email dispatch (SendGrid/SMTP)</t>
        </is>
      </c>
      <c r="D14" s="22" t="inlineStr">
        <is>
          <t>Backend</t>
        </is>
      </c>
      <c r="E14" s="22" t="inlineStr">
        <is>
          <t>1 week</t>
        </is>
      </c>
      <c r="F14" s="22" t="inlineStr">
        <is>
          <t>—</t>
        </is>
      </c>
      <c r="G14" s="22" t="inlineStr">
        <is>
          <t>Email sending service + template rendering</t>
        </is>
      </c>
      <c r="H14" s="25" t="inlineStr">
        <is>
          <t>☑</t>
        </is>
      </c>
      <c r="I14" s="40" t="inlineStr">
        <is>
          <t>SP - Sanya</t>
        </is>
      </c>
      <c r="J14" s="27" t="inlineStr">
        <is>
          <t>Integrations</t>
        </is>
      </c>
      <c r="K14" s="29" t="inlineStr">
        <is>
          <t>DONE</t>
        </is>
      </c>
    </row>
    <row r="15" ht="15" customHeight="1" s="110">
      <c r="A15" s="39" t="inlineStr">
        <is>
          <t>Phase 3: Comms</t>
        </is>
      </c>
      <c r="B15" s="22" t="inlineStr">
        <is>
          <t>10-11</t>
        </is>
      </c>
      <c r="C15" s="22" t="inlineStr">
        <is>
          <t>SMS dispatch (Twilio)</t>
        </is>
      </c>
      <c r="D15" s="22" t="inlineStr">
        <is>
          <t>Backend</t>
        </is>
      </c>
      <c r="E15" s="22" t="inlineStr">
        <is>
          <t>1 week</t>
        </is>
      </c>
      <c r="F15" s="22" t="inlineStr">
        <is>
          <t>—</t>
        </is>
      </c>
      <c r="G15" s="22" t="inlineStr">
        <is>
          <t>SMS sending service</t>
        </is>
      </c>
      <c r="H15" s="25" t="inlineStr">
        <is>
          <t>☑</t>
        </is>
      </c>
      <c r="I15" s="40" t="inlineStr">
        <is>
          <t>SP - Sanya</t>
        </is>
      </c>
      <c r="J15" s="27" t="inlineStr">
        <is>
          <t>Integrations</t>
        </is>
      </c>
      <c r="K15" s="29" t="inlineStr">
        <is>
          <t>DONE</t>
        </is>
      </c>
    </row>
    <row r="16" ht="15" customHeight="1" s="110">
      <c r="A16" s="50" t="inlineStr">
        <is>
          <t>Phase 3: Comms</t>
        </is>
      </c>
      <c r="B16" s="4" t="inlineStr">
        <is>
          <t>11-12</t>
        </is>
      </c>
      <c r="C16" s="4" t="inlineStr">
        <is>
          <t>WhatsApp integration (Meta Cloud)</t>
        </is>
      </c>
      <c r="D16" s="4" t="inlineStr">
        <is>
          <t>Backend</t>
        </is>
      </c>
      <c r="E16" s="4" t="inlineStr">
        <is>
          <t>2 weeks</t>
        </is>
      </c>
      <c r="F16" s="4" t="inlineStr">
        <is>
          <t>—</t>
        </is>
      </c>
      <c r="G16" s="4" t="inlineStr">
        <is>
          <t>WhatsApp template sync + message dispatch</t>
        </is>
      </c>
      <c r="H16" s="32" t="inlineStr">
        <is>
          <t>☑</t>
        </is>
      </c>
      <c r="I16" s="51" t="inlineStr">
        <is>
          <t>SP - Sanya</t>
        </is>
      </c>
      <c r="J16" s="5" t="inlineStr">
        <is>
          <t>Integrations</t>
        </is>
      </c>
      <c r="K16" s="34" t="inlineStr">
        <is>
          <t>DONE</t>
        </is>
      </c>
    </row>
    <row r="17" ht="15" customHeight="1" s="110">
      <c r="A17" s="39" t="inlineStr">
        <is>
          <t>Phase 3: Comms</t>
        </is>
      </c>
      <c r="B17" s="22" t="inlineStr">
        <is>
          <t>11-12</t>
        </is>
      </c>
      <c r="C17" s="22" t="inlineStr">
        <is>
          <t>Push notifications (Firebase)</t>
        </is>
      </c>
      <c r="D17" s="22" t="inlineStr">
        <is>
          <t>Backend</t>
        </is>
      </c>
      <c r="E17" s="22" t="inlineStr">
        <is>
          <t>1 week</t>
        </is>
      </c>
      <c r="F17" s="22" t="inlineStr">
        <is>
          <t>—</t>
        </is>
      </c>
      <c r="G17" s="22" t="inlineStr">
        <is>
          <t>FCM integration for driver app</t>
        </is>
      </c>
      <c r="H17" s="25" t="inlineStr">
        <is>
          <t>☑</t>
        </is>
      </c>
      <c r="I17" s="40" t="inlineStr">
        <is>
          <t>SP - Sanya</t>
        </is>
      </c>
      <c r="J17" s="27" t="inlineStr">
        <is>
          <t>Integrations</t>
        </is>
      </c>
      <c r="K17" s="29" t="inlineStr">
        <is>
          <t>DONE</t>
        </is>
      </c>
    </row>
    <row r="18" ht="15" customHeight="1" s="110">
      <c r="A18" s="39" t="inlineStr">
        <is>
          <t>Phase 3: Comms</t>
        </is>
      </c>
      <c r="B18" s="22" t="inlineStr">
        <is>
          <t>12-13</t>
        </is>
      </c>
      <c r="C18" s="22" t="inlineStr">
        <is>
          <t>Notification template editor</t>
        </is>
      </c>
      <c r="D18" s="22" t="inlineStr">
        <is>
          <t>Frontend</t>
        </is>
      </c>
      <c r="E18" s="22" t="inlineStr">
        <is>
          <t>2 weeks</t>
        </is>
      </c>
      <c r="F18" s="22" t="inlineStr">
        <is>
          <t>Email service</t>
        </is>
      </c>
      <c r="G18" s="22" t="inlineStr">
        <is>
          <t>Unlayer email editor, template management UI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15" customHeight="1" s="110">
      <c r="A19" s="39" t="inlineStr">
        <is>
          <t>Phase 3: Comms</t>
        </is>
      </c>
      <c r="B19" s="22" t="inlineStr">
        <is>
          <t>12-13</t>
        </is>
      </c>
      <c r="C19" s="22" t="inlineStr">
        <is>
          <t>Real-time driver tracking</t>
        </is>
      </c>
      <c r="D19" s="22" t="inlineStr">
        <is>
          <t>Backend + Frontend</t>
        </is>
      </c>
      <c r="E19" s="22" t="inlineStr">
        <is>
          <t>2 weeks</t>
        </is>
      </c>
      <c r="F19" s="22" t="inlineStr">
        <is>
          <t>Firebase/WebSocket</t>
        </is>
      </c>
      <c r="G19" s="22" t="inlineStr">
        <is>
          <t>Live driver location on dashboard maps</t>
        </is>
      </c>
      <c r="H19" s="25" t="inlineStr">
        <is>
          <t>☑</t>
        </is>
      </c>
      <c r="I19" s="57" t="inlineStr">
        <is>
          <t>PAIR</t>
        </is>
      </c>
      <c r="J19" s="27" t="inlineStr">
        <is>
          <t>Cross-team</t>
        </is>
      </c>
      <c r="K19" s="29" t="inlineStr">
        <is>
          <t>DONE</t>
        </is>
      </c>
    </row>
    <row r="20" ht="15" customHeight="1" s="110">
      <c r="A20" s="71" t="inlineStr">
        <is>
          <t>Phase 4: Commerce</t>
        </is>
      </c>
      <c r="B20" s="22" t="inlineStr">
        <is>
          <t>14-15</t>
        </is>
      </c>
      <c r="C20" s="22" t="inlineStr">
        <is>
          <t>Product + Customer models + sync</t>
        </is>
      </c>
      <c r="D20" s="22" t="inlineStr">
        <is>
          <t>Backend</t>
        </is>
      </c>
      <c r="E20" s="22" t="inlineStr">
        <is>
          <t>2 weeks</t>
        </is>
      </c>
      <c r="F20" s="22" t="inlineStr">
        <is>
          <t>Shopify sync</t>
        </is>
      </c>
      <c r="G20" s="22" t="inlineStr">
        <is>
          <t>Product catalog, customer database</t>
        </is>
      </c>
      <c r="H20" s="25" t="inlineStr">
        <is>
          <t>☑</t>
        </is>
      </c>
      <c r="I20" s="26" t="inlineStr">
        <is>
          <t>PK - Priya</t>
        </is>
      </c>
      <c r="J20" s="27" t="inlineStr">
        <is>
          <t>Core Backend</t>
        </is>
      </c>
      <c r="K20" s="29" t="inlineStr">
        <is>
          <t>DONE</t>
        </is>
      </c>
    </row>
    <row r="21" ht="15" customHeight="1" s="110">
      <c r="A21" s="72" t="inlineStr">
        <is>
          <t>Phase 4: Commerce</t>
        </is>
      </c>
      <c r="B21" s="73" t="inlineStr">
        <is>
          <t>14-15</t>
        </is>
      </c>
      <c r="C21" s="73" t="inlineStr">
        <is>
          <t>Payment processing (COD + gateway)</t>
        </is>
      </c>
      <c r="D21" s="73" t="inlineStr">
        <is>
          <t>Backend</t>
        </is>
      </c>
      <c r="E21" s="73" t="inlineStr">
        <is>
          <t>2 weeks</t>
        </is>
      </c>
      <c r="F21" s="73" t="inlineStr">
        <is>
          <t>Orders, Shipments</t>
        </is>
      </c>
      <c r="G21" s="73" t="inlineStr">
        <is>
          <t>Payment gateway, COD, transaction tracking</t>
        </is>
      </c>
      <c r="H21" s="74" t="inlineStr">
        <is>
          <t>☑</t>
        </is>
      </c>
      <c r="I21" s="75" t="inlineStr">
        <is>
          <t>RG - Rohan</t>
        </is>
      </c>
      <c r="J21" s="76" t="inlineStr">
        <is>
          <t>Integrations</t>
        </is>
      </c>
      <c r="K21" s="46" t="inlineStr">
        <is>
          <t>DONE</t>
        </is>
      </c>
    </row>
    <row r="22" ht="15" customHeight="1" s="110">
      <c r="A22" s="71" t="inlineStr">
        <is>
          <t>Phase 4: Commerce</t>
        </is>
      </c>
      <c r="B22" s="22" t="inlineStr">
        <is>
          <t>15-16</t>
        </is>
      </c>
      <c r="C22" s="22" t="inlineStr">
        <is>
          <t>Carrier rate calculation engine</t>
        </is>
      </c>
      <c r="D22" s="22" t="inlineStr">
        <is>
          <t>Backend</t>
        </is>
      </c>
      <c r="E22" s="22" t="inlineStr">
        <is>
          <t>2 weeks</t>
        </is>
      </c>
      <c r="F22" s="22" t="inlineStr">
        <is>
          <t>Shipping profiles</t>
        </is>
      </c>
      <c r="G22" s="22" t="inlineStr">
        <is>
          <t>Multi-carrier comparison, Shopify carrier callback</t>
        </is>
      </c>
      <c r="H22" s="25" t="inlineStr">
        <is>
          <t>☑</t>
        </is>
      </c>
      <c r="I22" s="49" t="inlineStr">
        <is>
          <t>VS - Vikram</t>
        </is>
      </c>
      <c r="J22" s="27" t="inlineStr">
        <is>
          <t>Core Backend</t>
        </is>
      </c>
      <c r="K22" s="29" t="inlineStr">
        <is>
          <t>DONE</t>
        </is>
      </c>
    </row>
    <row r="23" ht="15" customHeight="1" s="110">
      <c r="A23" s="77" t="inlineStr">
        <is>
          <t>Phase 4: Commerce</t>
        </is>
      </c>
      <c r="B23" s="8" t="inlineStr">
        <is>
          <t>15-16</t>
        </is>
      </c>
      <c r="C23" s="8" t="inlineStr">
        <is>
          <t>Cart plugin / storefront widget</t>
        </is>
      </c>
      <c r="D23" s="8" t="inlineStr">
        <is>
          <t>Backend + Frontend</t>
        </is>
      </c>
      <c r="E23" s="8" t="inlineStr">
        <is>
          <t>2 weeks</t>
        </is>
      </c>
      <c r="F23" s="8" t="inlineStr">
        <is>
          <t>Rates, Time slots</t>
        </is>
      </c>
      <c r="G23" s="8" t="inlineStr">
        <is>
          <t>Checkout date picker, rate display widget</t>
        </is>
      </c>
      <c r="H23" s="32" t="inlineStr">
        <is>
          <t>☑</t>
        </is>
      </c>
      <c r="I23" s="62" t="inlineStr">
        <is>
          <t>DM - Dev</t>
        </is>
      </c>
      <c r="J23" s="9" t="inlineStr">
        <is>
          <t>Frontend</t>
        </is>
      </c>
      <c r="K23" s="38" t="inlineStr">
        <is>
          <t>DONE</t>
        </is>
      </c>
    </row>
    <row r="24" ht="15" customHeight="1" s="110">
      <c r="A24" s="78" t="inlineStr">
        <is>
          <t>Phase 4: Commerce</t>
        </is>
      </c>
      <c r="B24" s="4" t="inlineStr">
        <is>
          <t>16-17</t>
        </is>
      </c>
      <c r="C24" s="4" t="inlineStr">
        <is>
          <t>Inventory tracking system</t>
        </is>
      </c>
      <c r="D24" s="4" t="inlineStr">
        <is>
          <t>Backend</t>
        </is>
      </c>
      <c r="E24" s="4" t="inlineStr">
        <is>
          <t>2 weeks</t>
        </is>
      </c>
      <c r="F24" s="4" t="inlineStr">
        <is>
          <t>Products, Locations</t>
        </is>
      </c>
      <c r="G24" s="4" t="inlineStr">
        <is>
          <t>Inventory by location, reorder points, sync</t>
        </is>
      </c>
      <c r="H24" s="32" t="inlineStr">
        <is>
          <t>☑</t>
        </is>
      </c>
      <c r="I24" s="33" t="inlineStr">
        <is>
          <t>PK - Priya</t>
        </is>
      </c>
      <c r="J24" s="5" t="inlineStr">
        <is>
          <t>Core Backend</t>
        </is>
      </c>
      <c r="K24" s="34" t="inlineStr">
        <is>
          <t>DONE</t>
        </is>
      </c>
    </row>
    <row r="25" ht="15" customHeight="1" s="110">
      <c r="A25" s="79" t="inlineStr">
        <is>
          <t>Phase 5: Admin</t>
        </is>
      </c>
      <c r="B25" s="22" t="inlineStr">
        <is>
          <t>18-19</t>
        </is>
      </c>
      <c r="C25" s="22" t="inlineStr">
        <is>
          <t>Analytics engine + dashboard data</t>
        </is>
      </c>
      <c r="D25" s="22" t="inlineStr">
        <is>
          <t>Backend + Frontend</t>
        </is>
      </c>
      <c r="E25" s="22" t="inlineStr">
        <is>
          <t>2 weeks</t>
        </is>
      </c>
      <c r="F25" s="22" t="inlineStr">
        <is>
          <t>Orders, Shipments</t>
        </is>
      </c>
      <c r="G25" s="22" t="inlineStr">
        <is>
          <t>Time-series aggregation, chart data APIs</t>
        </is>
      </c>
      <c r="H25" s="25" t="inlineStr">
        <is>
          <t>☑</t>
        </is>
      </c>
      <c r="I25" s="57" t="inlineStr">
        <is>
          <t>RG - Rohan</t>
        </is>
      </c>
      <c r="J25" s="27" t="inlineStr">
        <is>
          <t>Integrations</t>
        </is>
      </c>
      <c r="K25" s="29" t="inlineStr">
        <is>
          <t>DONE</t>
        </is>
      </c>
    </row>
    <row r="26" ht="15" customHeight="1" s="110">
      <c r="A26" s="79" t="inlineStr">
        <is>
          <t>Phase 5: Admin</t>
        </is>
      </c>
      <c r="B26" s="22" t="inlineStr">
        <is>
          <t>18-19</t>
        </is>
      </c>
      <c r="C26" s="22" t="inlineStr">
        <is>
          <t>Billing &amp; plans system</t>
        </is>
      </c>
      <c r="D26" s="22" t="inlineStr">
        <is>
          <t>Backend + Frontend</t>
        </is>
      </c>
      <c r="E26" s="22" t="inlineStr">
        <is>
          <t>2 weeks</t>
        </is>
      </c>
      <c r="F26" s="22" t="inlineStr">
        <is>
          <t>Shopify billing API</t>
        </is>
      </c>
      <c r="G26" s="22" t="inlineStr">
        <is>
          <t>Plan catalog, usage metering, upgrade flow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15" customHeight="1" s="110">
      <c r="A27" s="79" t="inlineStr">
        <is>
          <t>Phase 5: Admin</t>
        </is>
      </c>
      <c r="B27" s="22" t="inlineStr">
        <is>
          <t>19-20</t>
        </is>
      </c>
      <c r="C27" s="22" t="inlineStr">
        <is>
          <t>Audit trail / history system</t>
        </is>
      </c>
      <c r="D27" s="22" t="inlineStr">
        <is>
          <t>Backend</t>
        </is>
      </c>
      <c r="E27" s="22" t="inlineStr">
        <is>
          <t>1 week</t>
        </is>
      </c>
      <c r="F27" s="22" t="inlineStr">
        <is>
          <t>—</t>
        </is>
      </c>
      <c r="G27" s="22" t="inlineStr">
        <is>
          <t>Activity logging, entity change tracking</t>
        </is>
      </c>
      <c r="H27" s="25" t="inlineStr">
        <is>
          <t>☑</t>
        </is>
      </c>
      <c r="I27" s="35" t="inlineStr">
        <is>
          <t>AR - Arjun</t>
        </is>
      </c>
      <c r="J27" s="27" t="inlineStr">
        <is>
          <t>Architecture</t>
        </is>
      </c>
      <c r="K27" s="29" t="inlineStr">
        <is>
          <t>DONE</t>
        </is>
      </c>
    </row>
    <row r="28" ht="15" customHeight="1" s="110">
      <c r="A28" s="79" t="inlineStr">
        <is>
          <t>Phase 5: Admin</t>
        </is>
      </c>
      <c r="B28" s="22" t="inlineStr">
        <is>
          <t>19-20</t>
        </is>
      </c>
      <c r="C28" s="22" t="inlineStr">
        <is>
          <t>User invitation + RBAC</t>
        </is>
      </c>
      <c r="D28" s="22" t="inlineStr">
        <is>
          <t>Backend + Frontend</t>
        </is>
      </c>
      <c r="E28" s="22" t="inlineStr">
        <is>
          <t>2 weeks</t>
        </is>
      </c>
      <c r="F28" s="22" t="inlineStr">
        <is>
          <t>Users model</t>
        </is>
      </c>
      <c r="G28" s="22" t="inlineStr">
        <is>
          <t>Invite flow, role assignment, permissions matrix</t>
        </is>
      </c>
      <c r="H28" s="25" t="inlineStr">
        <is>
          <t>☑</t>
        </is>
      </c>
      <c r="I28" s="35" t="inlineStr">
        <is>
          <t>AR - Arjun</t>
        </is>
      </c>
      <c r="J28" s="27" t="inlineStr">
        <is>
          <t>Architecture</t>
        </is>
      </c>
      <c r="K28" s="29" t="inlineStr">
        <is>
          <t>DONE</t>
        </is>
      </c>
    </row>
    <row r="29" ht="15" customHeight="1" s="110">
      <c r="A29" s="79" t="inlineStr">
        <is>
          <t>Phase 5: Admin</t>
        </is>
      </c>
      <c r="B29" s="22" t="inlineStr">
        <is>
          <t>20-21</t>
        </is>
      </c>
      <c r="C29" s="22" t="inlineStr">
        <is>
          <t>Onboarding flow</t>
        </is>
      </c>
      <c r="D29" s="22" t="inlineStr">
        <is>
          <t>Frontend</t>
        </is>
      </c>
      <c r="E29" s="22" t="inlineStr">
        <is>
          <t>2 weeks</t>
        </is>
      </c>
      <c r="F29" s="22" t="inlineStr">
        <is>
          <t>Auth, Shipping profiles</t>
        </is>
      </c>
      <c r="G29" s="22" t="inlineStr">
        <is>
          <t>Multi-step setup wizard</t>
        </is>
      </c>
      <c r="H29" s="25" t="inlineStr">
        <is>
          <t>☑</t>
        </is>
      </c>
      <c r="I29" s="60" t="inlineStr">
        <is>
          <t>NK - Neha</t>
        </is>
      </c>
      <c r="J29" s="27" t="inlineStr">
        <is>
          <t>Frontend</t>
        </is>
      </c>
      <c r="K29" s="29" t="inlineStr">
        <is>
          <t>DONE</t>
        </is>
      </c>
    </row>
    <row r="30" ht="15" customHeight="1" s="110">
      <c r="A30" s="80" t="inlineStr">
        <is>
          <t>Phase 5: Admin</t>
        </is>
      </c>
      <c r="B30" s="4" t="inlineStr">
        <is>
          <t>20-21</t>
        </is>
      </c>
      <c r="C30" s="4" t="inlineStr">
        <is>
          <t>Super admin panel</t>
        </is>
      </c>
      <c r="D30" s="4" t="inlineStr">
        <is>
          <t>Backend + Frontend</t>
        </is>
      </c>
      <c r="E30" s="4" t="inlineStr">
        <is>
          <t>2 weeks</t>
        </is>
      </c>
      <c r="F30" s="4" t="inlineStr">
        <is>
          <t>All models</t>
        </is>
      </c>
      <c r="G30" s="4" t="inlineStr">
        <is>
          <t>Cross-store management, billing admin</t>
        </is>
      </c>
      <c r="H30" s="32" t="inlineStr">
        <is>
          <t>☑</t>
        </is>
      </c>
      <c r="I30" s="55" t="inlineStr">
        <is>
          <t>RG - Rohan</t>
        </is>
      </c>
      <c r="J30" s="5" t="inlineStr">
        <is>
          <t>Integrations</t>
        </is>
      </c>
      <c r="K30" s="34" t="inlineStr">
        <is>
          <t>DONE</t>
        </is>
      </c>
    </row>
    <row r="31" ht="15" customHeight="1" s="110">
      <c r="A31" s="81" t="inlineStr">
        <is>
          <t>Phase 6: Polish</t>
        </is>
      </c>
      <c r="B31" s="8" t="inlineStr">
        <is>
          <t>22-23</t>
        </is>
      </c>
      <c r="C31" s="8" t="inlineStr">
        <is>
          <t>Campaign / marketing module</t>
        </is>
      </c>
      <c r="D31" s="8" t="inlineStr">
        <is>
          <t>Backend + Frontend</t>
        </is>
      </c>
      <c r="E31" s="8" t="inlineStr">
        <is>
          <t>2 weeks</t>
        </is>
      </c>
      <c r="F31" s="8" t="inlineStr">
        <is>
          <t>Notifications</t>
        </is>
      </c>
      <c r="G31" s="8" t="inlineStr">
        <is>
          <t>Campaign creation, audience targeting, broadcast</t>
        </is>
      </c>
      <c r="H31" s="32" t="inlineStr">
        <is>
          <t>☑</t>
        </is>
      </c>
      <c r="I31" s="53" t="inlineStr">
        <is>
          <t>SP - Sanya</t>
        </is>
      </c>
      <c r="J31" s="9" t="inlineStr">
        <is>
          <t>Integrations</t>
        </is>
      </c>
      <c r="K31" s="38" t="inlineStr">
        <is>
          <t>DONE</t>
        </is>
      </c>
    </row>
    <row r="32" ht="15" customHeight="1" s="110">
      <c r="A32" s="82" t="inlineStr">
        <is>
          <t>Phase 6: Polish</t>
        </is>
      </c>
      <c r="B32" s="4" t="inlineStr">
        <is>
          <t>22-23</t>
        </is>
      </c>
      <c r="C32" s="4" t="inlineStr">
        <is>
          <t>Custom metafields system</t>
        </is>
      </c>
      <c r="D32" s="4" t="inlineStr">
        <is>
          <t>Backend + Frontend</t>
        </is>
      </c>
      <c r="E32" s="4" t="inlineStr">
        <is>
          <t>1 week</t>
        </is>
      </c>
      <c r="F32" s="4" t="inlineStr">
        <is>
          <t>—</t>
        </is>
      </c>
      <c r="G32" s="4" t="inlineStr">
        <is>
          <t>Custom field definitions, per-entity data</t>
        </is>
      </c>
      <c r="H32" s="32" t="inlineStr">
        <is>
          <t>☑</t>
        </is>
      </c>
      <c r="I32" s="33" t="inlineStr">
        <is>
          <t>PK - Priya</t>
        </is>
      </c>
      <c r="J32" s="5" t="inlineStr">
        <is>
          <t>Core Backend</t>
        </is>
      </c>
      <c r="K32" s="34" t="inlineStr">
        <is>
          <t>DONE</t>
        </is>
      </c>
    </row>
    <row r="33" ht="15" customHeight="1" s="110">
      <c r="A33" s="81" t="inlineStr">
        <is>
          <t>Phase 6: Polish</t>
        </is>
      </c>
      <c r="B33" s="8" t="inlineStr">
        <is>
          <t>23-24</t>
        </is>
      </c>
      <c r="C33" s="8" t="inlineStr">
        <is>
          <t>POS integration</t>
        </is>
      </c>
      <c r="D33" s="8" t="inlineStr">
        <is>
          <t>Backend</t>
        </is>
      </c>
      <c r="E33" s="8" t="inlineStr">
        <is>
          <t>2 weeks</t>
        </is>
      </c>
      <c r="F33" s="8" t="inlineStr">
        <is>
          <t>Products, Payments</t>
        </is>
      </c>
      <c r="G33" s="8" t="inlineStr">
        <is>
          <t>POS checkout, custom forms</t>
        </is>
      </c>
      <c r="H33" s="32" t="inlineStr">
        <is>
          <t>☐</t>
        </is>
      </c>
      <c r="I33" s="56" t="inlineStr">
        <is>
          <t>RG - Rohan</t>
        </is>
      </c>
      <c r="J33" s="9" t="inlineStr">
        <is>
          <t>Integrations</t>
        </is>
      </c>
      <c r="K33" s="38" t="inlineStr">
        <is>
          <t>NOT STARTED</t>
        </is>
      </c>
    </row>
    <row r="34" ht="15" customHeight="1" s="110">
      <c r="A34" s="82" t="inlineStr">
        <is>
          <t>Phase 6: Polish</t>
        </is>
      </c>
      <c r="B34" s="4" t="inlineStr">
        <is>
          <t>23-24</t>
        </is>
      </c>
      <c r="C34" s="4" t="inlineStr">
        <is>
          <t>Map views (orders, shipments, routes on map)</t>
        </is>
      </c>
      <c r="D34" s="4" t="inlineStr">
        <is>
          <t>Frontend</t>
        </is>
      </c>
      <c r="E34" s="4" t="inlineStr">
        <is>
          <t>2 weeks</t>
        </is>
      </c>
      <c r="F34" s="4" t="inlineStr">
        <is>
          <t>PostGIS, Leaflet</t>
        </is>
      </c>
      <c r="G34" s="4" t="inlineStr">
        <is>
          <t>Leaflet map components with marker clusters</t>
        </is>
      </c>
      <c r="H34" s="32" t="inlineStr">
        <is>
          <t>☑</t>
        </is>
      </c>
      <c r="I34" s="63" t="inlineStr">
        <is>
          <t>DM - Dev</t>
        </is>
      </c>
      <c r="J34" s="5" t="inlineStr">
        <is>
          <t>Frontend</t>
        </is>
      </c>
      <c r="K34" s="34" t="inlineStr">
        <is>
          <t>DONE</t>
        </is>
      </c>
    </row>
    <row r="35" ht="15" customHeight="1" s="110">
      <c r="A35" s="81" t="inlineStr">
        <is>
          <t>Phase 6: Polish</t>
        </is>
      </c>
      <c r="B35" s="8" t="inlineStr">
        <is>
          <t>24-25</t>
        </is>
      </c>
      <c r="C35" s="8" t="inlineStr">
        <is>
          <t>Data migration tools (MongoDB → PostgreSQL)</t>
        </is>
      </c>
      <c r="D35" s="8" t="inlineStr">
        <is>
          <t>Backend</t>
        </is>
      </c>
      <c r="E35" s="8" t="inlineStr">
        <is>
          <t>3 weeks</t>
        </is>
      </c>
      <c r="F35" s="8" t="inlineStr">
        <is>
          <t>All models</t>
        </is>
      </c>
      <c r="G35" s="8" t="inlineStr">
        <is>
          <t>Migration scripts, validation, rollback</t>
        </is>
      </c>
      <c r="H35" s="32" t="inlineStr">
        <is>
          <t>☑</t>
        </is>
      </c>
      <c r="I35" s="58" t="inlineStr">
        <is>
          <t>PK - Priya</t>
        </is>
      </c>
      <c r="J35" s="9" t="inlineStr">
        <is>
          <t>Core Backend</t>
        </is>
      </c>
      <c r="K35" s="38" t="inlineStr">
        <is>
          <t>DONE</t>
        </is>
      </c>
    </row>
    <row r="36" ht="15" customHeight="1" s="110">
      <c r="A36" s="82" t="inlineStr">
        <is>
          <t>Phase 6: Polish</t>
        </is>
      </c>
      <c r="B36" s="4" t="inlineStr">
        <is>
          <t>24-25</t>
        </is>
      </c>
      <c r="C36" s="4" t="inlineStr">
        <is>
          <t>CI/CD, Docker, monitoring</t>
        </is>
      </c>
      <c r="D36" s="4" t="inlineStr">
        <is>
          <t>Infra</t>
        </is>
      </c>
      <c r="E36" s="4" t="inlineStr">
        <is>
          <t>2 weeks</t>
        </is>
      </c>
      <c r="F36" s="4" t="inlineStr">
        <is>
          <t>—</t>
        </is>
      </c>
      <c r="G36" s="4" t="inlineStr">
        <is>
          <t>Docker builds, Sentry, Pino logging, deployment</t>
        </is>
      </c>
      <c r="H36" s="32" t="inlineStr">
        <is>
          <t>☑</t>
        </is>
      </c>
      <c r="I36" s="66" t="inlineStr">
        <is>
          <t>AM - Aisha</t>
        </is>
      </c>
      <c r="J36" s="5" t="inlineStr">
        <is>
          <t>Platform</t>
        </is>
      </c>
      <c r="K36" s="34" t="inlineStr">
        <is>
          <t>DONE</t>
        </is>
      </c>
    </row>
    <row r="38">
      <c r="A38" s="108" t="inlineStr">
        <is>
          <t>SPRINT 2.8 PLANNED</t>
        </is>
      </c>
    </row>
    <row r="39">
      <c r="A39" t="inlineStr">
        <is>
          <t>Phase 7: Production</t>
        </is>
      </c>
      <c r="B39" t="inlineStr">
        <is>
          <t>2.8</t>
        </is>
      </c>
      <c r="C39" t="inlineStr">
        <is>
          <t>Auth provider abstraction (Auth0, Clerk, Cognito, Firebase, OIDC, SAML)</t>
        </is>
      </c>
      <c r="D39" t="inlineStr">
        <is>
          <t>Backend + Infra</t>
        </is>
      </c>
      <c r="E39" t="inlineStr">
        <is>
          <t>2 weeks</t>
        </is>
      </c>
      <c r="F39" t="inlineStr">
        <is>
          <t>Auth system</t>
        </is>
      </c>
      <c r="G39" t="inlineStr">
        <is>
          <t>Multi-provider auth registry with BYOK pattern</t>
        </is>
      </c>
      <c r="H39" t="inlineStr">
        <is>
          <t>☐</t>
        </is>
      </c>
    </row>
    <row r="40">
      <c r="A40" t="inlineStr">
        <is>
          <t>Phase 7: Production</t>
        </is>
      </c>
      <c r="B40" t="inlineStr">
        <is>
          <t>2.8</t>
        </is>
      </c>
      <c r="C40" t="inlineStr">
        <is>
          <t>Platform admin panel (user/customer management)</t>
        </is>
      </c>
      <c r="D40" t="inlineStr">
        <is>
          <t>Backend + Frontend</t>
        </is>
      </c>
      <c r="E40" t="inlineStr">
        <is>
          <t>2 weeks</t>
        </is>
      </c>
      <c r="F40" t="inlineStr">
        <is>
          <t>Auth, RBAC</t>
        </is>
      </c>
      <c r="G40" t="inlineStr">
        <is>
          <t>Admin dashboard for platform-level oversight</t>
        </is>
      </c>
      <c r="H40" t="inlineStr">
        <is>
          <t>☐</t>
        </is>
      </c>
    </row>
    <row r="41">
      <c r="A41" t="inlineStr">
        <is>
          <t>Phase 7: Production</t>
        </is>
      </c>
      <c r="B41" t="inlineStr">
        <is>
          <t>2.8</t>
        </is>
      </c>
      <c r="C41" t="inlineStr">
        <is>
          <t>Activity log &amp; Settings redesign (frontend-design)</t>
        </is>
      </c>
      <c r="D41" t="inlineStr">
        <is>
          <t>Frontend</t>
        </is>
      </c>
      <c r="E41" t="inlineStr">
        <is>
          <t>1 week</t>
        </is>
      </c>
      <c r="F41" t="inlineStr">
        <is>
          <t>Audit, Settings</t>
        </is>
      </c>
      <c r="G41" t="inlineStr">
        <is>
          <t>Production-grade UI with frontend-design skill</t>
        </is>
      </c>
      <c r="H41" t="inlineStr">
        <is>
          <t>☐</t>
        </is>
      </c>
    </row>
    <row r="42">
      <c r="A42" t="inlineStr">
        <is>
          <t>Phase 7: Production</t>
        </is>
      </c>
      <c r="B42" t="inlineStr">
        <is>
          <t>2.8</t>
        </is>
      </c>
      <c r="C42" t="inlineStr">
        <is>
          <t>Docker production deployment</t>
        </is>
      </c>
      <c r="D42" t="inlineStr">
        <is>
          <t>Infra</t>
        </is>
      </c>
      <c r="E42" t="inlineStr">
        <is>
          <t>1 week</t>
        </is>
      </c>
      <c r="F42" t="inlineStr">
        <is>
          <t>—</t>
        </is>
      </c>
      <c r="G42" t="inlineStr">
        <is>
          <t>Multi-stage Dockerfiles, compose.prod.yml, health checks</t>
        </is>
      </c>
      <c r="H42" t="inlineStr">
        <is>
          <t>☐</t>
        </is>
      </c>
    </row>
    <row r="43">
      <c r="A43" t="inlineStr">
        <is>
          <t>Phase 7: Production</t>
        </is>
      </c>
      <c r="B43" t="inlineStr">
        <is>
          <t>2.8</t>
        </is>
      </c>
      <c r="C43" t="inlineStr">
        <is>
          <t>POS integration</t>
        </is>
      </c>
      <c r="D43" t="inlineStr">
        <is>
          <t>Backend</t>
        </is>
      </c>
      <c r="E43" t="inlineStr">
        <is>
          <t>2 weeks</t>
        </is>
      </c>
      <c r="F43" t="inlineStr">
        <is>
          <t>Products, Payments</t>
        </is>
      </c>
      <c r="G43" t="inlineStr">
        <is>
          <t>POS checkout, custom forms</t>
        </is>
      </c>
      <c r="H43" t="inlineStr">
        <is>
          <t>☐</t>
        </is>
      </c>
    </row>
    <row r="44">
      <c r="A44" t="inlineStr">
        <is>
          <t>Phase 7: Production</t>
        </is>
      </c>
      <c r="B44" t="inlineStr">
        <is>
          <t>2.8</t>
        </is>
      </c>
      <c r="C44" t="inlineStr">
        <is>
          <t>API hardening + OpenAPI spec</t>
        </is>
      </c>
      <c r="D44" t="inlineStr">
        <is>
          <t>Backend</t>
        </is>
      </c>
      <c r="E44" t="inlineStr">
        <is>
          <t>1 week</t>
        </is>
      </c>
      <c r="F44" t="inlineStr">
        <is>
          <t>All routes</t>
        </is>
      </c>
      <c r="G44" t="inlineStr">
        <is>
          <t>Zod validation, error standardization, Swagger UI</t>
        </is>
      </c>
      <c r="H44" t="inlineStr">
        <is>
          <t>☐</t>
        </is>
      </c>
    </row>
    <row r="45">
      <c r="A45" t="inlineStr">
        <is>
          <t>Phase 7: Production</t>
        </is>
      </c>
      <c r="B45" t="inlineStr">
        <is>
          <t>2.8</t>
        </is>
      </c>
      <c r="C45" t="inlineStr">
        <is>
          <t>E2E tests + load testing</t>
        </is>
      </c>
      <c r="D45" t="inlineStr">
        <is>
          <t>QA</t>
        </is>
      </c>
      <c r="E45" t="inlineStr">
        <is>
          <t>1 week</t>
        </is>
      </c>
      <c r="F45" t="inlineStr">
        <is>
          <t>All apps</t>
        </is>
      </c>
      <c r="G45" t="inlineStr">
        <is>
          <t>Integration suites, k6 load tests, CI pipeline</t>
        </is>
      </c>
      <c r="H45" t="inlineStr">
        <is>
          <t>☐</t>
        </is>
      </c>
    </row>
    <row r="47">
      <c r="A47" s="129" t="inlineStr">
        <is>
          <t>PHASE 3.0: EVENT SYSTEM &amp; DESIGN SYSTEM</t>
        </is>
      </c>
      <c r="B47" s="130" t="n"/>
      <c r="C47" s="130" t="n"/>
      <c r="D47" s="130" t="n"/>
      <c r="E47" s="130" t="n"/>
    </row>
    <row r="48">
      <c r="A48" s="132" t="inlineStr">
        <is>
          <t>Design System Migration</t>
        </is>
      </c>
      <c r="B48" s="132" t="inlineStr">
        <is>
          <t>Migrate dashboard from custom components to shadcn/ui + Tailwind CSS 4</t>
        </is>
      </c>
      <c r="C48" s="132" t="inlineStr">
        <is>
          <t>Phase 3.0</t>
        </is>
      </c>
      <c r="D48" s="132" t="inlineStr">
        <is>
          <t>Sprint 3.0-3.1</t>
        </is>
      </c>
      <c r="E48" s="132" t="inlineStr">
        <is>
          <t>CRITICAL</t>
        </is>
      </c>
    </row>
    <row r="49">
      <c r="A49" s="132" t="inlineStr">
        <is>
          <t>Component Library (shadcn/ui)</t>
        </is>
      </c>
      <c r="B49" s="132" t="inlineStr">
        <is>
          <t>Install and configure shadcn/ui with Witylogix theme tokens</t>
        </is>
      </c>
      <c r="C49" s="132" t="inlineStr">
        <is>
          <t>Phase 3.0</t>
        </is>
      </c>
      <c r="D49" s="132" t="inlineStr">
        <is>
          <t>Sprint 3.0</t>
        </is>
      </c>
      <c r="E49" s="132" t="inlineStr">
        <is>
          <t>HIGH</t>
        </is>
      </c>
    </row>
    <row r="50">
      <c r="A50" s="132" t="inlineStr">
        <is>
          <t>Tailwind CSS 4 Setup</t>
        </is>
      </c>
      <c r="B50" s="132" t="inlineStr">
        <is>
          <t>Add Tailwind CSS 4 to dashboard with --wl-* token mapping</t>
        </is>
      </c>
      <c r="C50" s="132" t="inlineStr">
        <is>
          <t>Phase 3.0</t>
        </is>
      </c>
      <c r="D50" s="132" t="inlineStr">
        <is>
          <t>Sprint 3.0</t>
        </is>
      </c>
      <c r="E50" s="132" t="inlineStr">
        <is>
          <t>HIGH</t>
        </is>
      </c>
    </row>
    <row r="51">
      <c r="A51" s="132" t="inlineStr">
        <is>
          <t>Event Bus Foundation</t>
        </is>
      </c>
      <c r="B51" s="132" t="inlineStr">
        <is>
          <t>Typed event emitter with Redis Streams pub/sub</t>
        </is>
      </c>
      <c r="C51" s="132" t="inlineStr">
        <is>
          <t>Phase 3.0</t>
        </is>
      </c>
      <c r="D51" s="132" t="inlineStr">
        <is>
          <t>Sprint 3.0</t>
        </is>
      </c>
      <c r="E51" s="132" t="inlineStr">
        <is>
          <t>HIGH</t>
        </is>
      </c>
    </row>
    <row r="52">
      <c r="A52" s="132" t="inlineStr">
        <is>
          <t>Workflow-API Integration</t>
        </is>
      </c>
      <c r="B52" s="132" t="inlineStr">
        <is>
          <t>Wire workflow engine into existing order/driver/delivery endpoints</t>
        </is>
      </c>
      <c r="C52" s="132" t="inlineStr">
        <is>
          <t>Phase 3.0</t>
        </is>
      </c>
      <c r="D52" s="132" t="inlineStr">
        <is>
          <t>Sprint 3.0</t>
        </is>
      </c>
      <c r="E52" s="132" t="inlineStr">
        <is>
          <t>HIGH</t>
        </is>
      </c>
    </row>
    <row r="53">
      <c r="A53" s="132" t="inlineStr">
        <is>
          <t>Webhook System</t>
        </is>
      </c>
      <c r="B53" s="132" t="inlineStr">
        <is>
          <t>Outbound webhooks for workflow events with signing and retry</t>
        </is>
      </c>
      <c r="C53" s="132" t="inlineStr">
        <is>
          <t>Phase 3.0</t>
        </is>
      </c>
      <c r="D53" s="132" t="inlineStr">
        <is>
          <t>Sprint 3.0</t>
        </is>
      </c>
      <c r="E53" s="132" t="inlineStr">
        <is>
          <t>MEDIUM</t>
        </is>
      </c>
    </row>
    <row r="54">
      <c r="A54" s="132" t="inlineStr">
        <is>
          <t>Real-time Workflow Updates</t>
        </is>
      </c>
      <c r="B54" s="132" t="inlineStr">
        <is>
          <t>Socket.io integration for live workflow step progression</t>
        </is>
      </c>
      <c r="C54" s="132" t="inlineStr">
        <is>
          <t>Phase 3.0</t>
        </is>
      </c>
      <c r="D54" s="132" t="inlineStr">
        <is>
          <t>Sprint 3.0</t>
        </is>
      </c>
      <c r="E54" s="132" t="inlineStr">
        <is>
          <t>MEDIUM</t>
        </is>
      </c>
    </row>
    <row r="55">
      <c r="A55" s="132" t="inlineStr">
        <is>
          <t>Shopify Workflow Triggers</t>
        </is>
      </c>
      <c r="B55" s="132" t="inlineStr">
        <is>
          <t>Connect Shopify order webhooks to workflow engine</t>
        </is>
      </c>
      <c r="C55" s="132" t="inlineStr">
        <is>
          <t>Phase 3.0</t>
        </is>
      </c>
      <c r="D55" s="132" t="inlineStr">
        <is>
          <t>Sprint 3.0</t>
        </is>
      </c>
      <c r="E55" s="132" t="inlineStr">
        <is>
          <t>MEDIUM</t>
        </is>
      </c>
    </row>
  </sheetData>
  <autoFilter ref="A1:K36"/>
  <dataValidations count="3">
    <dataValidation sqref="H2:H36" showDropDown="0" showInputMessage="0" showErrorMessage="0" allowBlank="1" errorTitle="Invalid" error="Use ☐ or ☑" type="list">
      <formula1>"☐,☑"</formula1>
      <formula2>0</formula2>
    </dataValidation>
    <dataValidation sqref="I2:I36" showDropDown="0" showInputMessage="0" showErrorMessage="0" allowBlank="1" type="list">
      <formula1>"AR,PK,VS,NK,DM,SP,RG,AM,KS,PAIR,ALL"</formula1>
      <formula2>0</formula2>
    </dataValidation>
    <dataValidation sqref="K2:K36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B923C"/>
    <outlinePr summaryBelow="1" summaryRight="1"/>
    <pageSetUpPr/>
  </sheetPr>
  <dimension ref="A1:M111"/>
  <sheetViews>
    <sheetView topLeftCell="A25" zoomScaleNormal="100" workbookViewId="0">
      <selection activeCell="A1" sqref="A1"/>
    </sheetView>
  </sheetViews>
  <sheetFormatPr baseColWidth="10" defaultColWidth="8.6640625" defaultRowHeight="15" customHeight="1"/>
  <cols>
    <col width="20" customWidth="1" style="110" min="1" max="1"/>
    <col width="61.83203125" bestFit="1" customWidth="1" style="110" min="2" max="2"/>
    <col width="9.6640625" bestFit="1" customWidth="1" style="110" min="3" max="8"/>
  </cols>
  <sheetData>
    <row r="1" ht="17.25" customHeight="1" s="110">
      <c r="A1" s="21" t="inlineStr">
        <is>
          <t>Gap Statistics Summary</t>
        </is>
      </c>
    </row>
    <row r="3" ht="15" customHeight="1" s="110">
      <c r="A3" s="1" t="inlineStr">
        <is>
          <t>SPRINT PROGRESS (as of Sprint 3.0)</t>
        </is>
      </c>
      <c r="B3" s="1" t="n"/>
      <c r="C3" s="1" t="n"/>
      <c r="D3" s="1" t="n"/>
      <c r="E3" s="1" t="n"/>
    </row>
    <row r="4" ht="15" customHeight="1" s="110">
      <c r="A4" s="8" t="inlineStr">
        <is>
          <t>Last Updated: Sprint 3.0 (2026-03-07)</t>
        </is>
      </c>
      <c r="B4" s="8" t="n"/>
      <c r="C4" s="8" t="n"/>
      <c r="D4" s="8" t="n"/>
      <c r="E4" s="8" t="n"/>
    </row>
    <row r="5" ht="15" customHeight="1" s="110">
      <c r="A5" s="83" t="inlineStr">
        <is>
          <t>Metric</t>
        </is>
      </c>
      <c r="B5" s="83" t="inlineStr">
        <is>
          <t>Sprint 1.1</t>
        </is>
      </c>
      <c r="C5" s="83" t="inlineStr">
        <is>
          <t>Sprint 1.2</t>
        </is>
      </c>
      <c r="D5" s="83" t="inlineStr">
        <is>
          <t>Sprint 2.0</t>
        </is>
      </c>
      <c r="E5" s="83" t="inlineStr">
        <is>
          <t>Sprint 2.1</t>
        </is>
      </c>
      <c r="F5" s="84" t="inlineStr">
        <is>
          <t>Sprint 2.3</t>
        </is>
      </c>
      <c r="G5" s="84" t="inlineStr">
        <is>
          <t>Sprint 2.4</t>
        </is>
      </c>
      <c r="H5" s="84" t="inlineStr">
        <is>
          <t>Sprint 2.5</t>
        </is>
      </c>
      <c r="I5" s="85" t="inlineStr">
        <is>
          <t>Sprint 2.6</t>
        </is>
      </c>
      <c r="J5" s="102" t="inlineStr">
        <is>
          <t>Sprint 2.7</t>
        </is>
      </c>
      <c r="K5" s="127" t="inlineStr">
        <is>
          <t>Sprint 2.8</t>
        </is>
      </c>
      <c r="L5" s="127" t="inlineStr">
        <is>
          <t>Sprint 2.9</t>
        </is>
      </c>
      <c r="M5" s="135" t="inlineStr">
        <is>
          <t>Sprint 3.0</t>
        </is>
      </c>
    </row>
    <row r="6" ht="15" customHeight="1" s="110">
      <c r="A6" s="8" t="inlineStr">
        <is>
          <t>Source Files</t>
        </is>
      </c>
      <c r="B6" s="8" t="n">
        <v>184</v>
      </c>
      <c r="C6" s="8" t="n">
        <v>258</v>
      </c>
      <c r="D6" s="8" t="n">
        <v>325</v>
      </c>
      <c r="E6" s="8" t="n">
        <v>418</v>
      </c>
      <c r="F6" t="n">
        <v>429</v>
      </c>
      <c r="G6" t="n">
        <v>461</v>
      </c>
      <c r="H6" t="n">
        <v>512</v>
      </c>
      <c r="I6" t="n">
        <v>555</v>
      </c>
      <c r="J6" s="103" t="n">
        <v>794</v>
      </c>
      <c r="K6" s="128" t="n">
        <v>848</v>
      </c>
      <c r="L6" s="128" t="n">
        <v>1565</v>
      </c>
      <c r="M6" s="136" t="n">
        <v>1609</v>
      </c>
    </row>
    <row r="7" ht="15" customHeight="1" s="110">
      <c r="A7" s="4" t="inlineStr">
        <is>
          <t>Lines of Code</t>
        </is>
      </c>
      <c r="B7" s="4" t="n">
        <v>22541</v>
      </c>
      <c r="C7" s="4" t="n">
        <v>40672</v>
      </c>
      <c r="D7" s="4" t="n">
        <v>58339</v>
      </c>
      <c r="E7" s="4" t="n">
        <v>83232</v>
      </c>
      <c r="F7" t="n">
        <v>113346</v>
      </c>
      <c r="G7" t="n">
        <v>130966</v>
      </c>
      <c r="H7" t="n">
        <v>153011</v>
      </c>
      <c r="I7" t="n">
        <v>168753</v>
      </c>
      <c r="J7" s="103" t="n">
        <v>208287</v>
      </c>
      <c r="K7" s="128" t="n">
        <v>221000</v>
      </c>
      <c r="L7" s="128" t="n">
        <v>156361</v>
      </c>
      <c r="M7" s="136" t="n">
        <v>170399</v>
      </c>
    </row>
    <row r="8" ht="15" customHeight="1" s="110">
      <c r="A8" s="7" t="inlineStr">
        <is>
          <t>Dashboard Pages</t>
        </is>
      </c>
      <c r="B8" s="7" t="n">
        <v>10</v>
      </c>
      <c r="C8" s="7" t="n">
        <v>14</v>
      </c>
      <c r="D8" s="7" t="n">
        <v>18</v>
      </c>
      <c r="E8" s="7" t="n">
        <v>24</v>
      </c>
      <c r="F8" t="n">
        <v>37</v>
      </c>
      <c r="G8" t="n">
        <v>47</v>
      </c>
      <c r="H8" t="n">
        <v>50</v>
      </c>
      <c r="I8" t="n">
        <v>50</v>
      </c>
      <c r="J8" s="103" t="n">
        <v>57</v>
      </c>
      <c r="K8" s="128" t="n">
        <v>64</v>
      </c>
      <c r="L8" s="128" t="n">
        <v>65</v>
      </c>
      <c r="M8" s="136" t="n">
        <v>66</v>
      </c>
    </row>
    <row r="9" ht="15" customHeight="1" s="110">
      <c r="A9" t="inlineStr">
        <is>
          <t>API Routes</t>
        </is>
      </c>
      <c r="B9" t="n">
        <v>8</v>
      </c>
      <c r="C9" t="n">
        <v>12</v>
      </c>
      <c r="D9" t="n">
        <v>18</v>
      </c>
      <c r="E9" t="n">
        <v>25</v>
      </c>
      <c r="F9" t="n">
        <v>27</v>
      </c>
      <c r="G9" t="n">
        <v>39</v>
      </c>
      <c r="H9" t="n">
        <v>42</v>
      </c>
      <c r="I9" t="n">
        <v>44</v>
      </c>
      <c r="J9" s="103" t="n">
        <v>51</v>
      </c>
      <c r="K9" s="128" t="n">
        <v>55</v>
      </c>
      <c r="L9" s="128" t="n">
        <v>63</v>
      </c>
      <c r="M9" s="136" t="n">
        <v>67</v>
      </c>
    </row>
    <row r="10" ht="17.25" customHeight="1" s="110">
      <c r="A10" s="21" t="inlineStr">
        <is>
          <t>Prisma Models</t>
        </is>
      </c>
      <c r="B10" t="n">
        <v>18</v>
      </c>
      <c r="C10" t="n">
        <v>22</v>
      </c>
      <c r="D10" t="n">
        <v>26</v>
      </c>
      <c r="E10" t="n">
        <v>30</v>
      </c>
      <c r="F10" t="n">
        <v>32</v>
      </c>
      <c r="G10" t="n">
        <v>34</v>
      </c>
      <c r="H10" t="n">
        <v>26</v>
      </c>
      <c r="I10" t="n">
        <v>25</v>
      </c>
      <c r="J10" s="103" t="n">
        <v>28</v>
      </c>
      <c r="K10" s="128" t="n">
        <v>30</v>
      </c>
      <c r="L10" s="128" t="n">
        <v>30</v>
      </c>
      <c r="M10" s="136" t="n">
        <v>31</v>
      </c>
    </row>
    <row r="11" ht="15" customHeight="1" s="110">
      <c r="A11" t="inlineStr">
        <is>
          <t>Core Modules</t>
        </is>
      </c>
      <c r="B11" t="n">
        <v>4</v>
      </c>
      <c r="C11" t="n">
        <v>6</v>
      </c>
      <c r="D11" t="n">
        <v>8</v>
      </c>
      <c r="E11" t="n">
        <v>12</v>
      </c>
      <c r="F11" t="n">
        <v>18</v>
      </c>
      <c r="G11" t="n">
        <v>32</v>
      </c>
      <c r="H11" t="n">
        <v>38</v>
      </c>
      <c r="I11" t="n">
        <v>43</v>
      </c>
      <c r="J11" s="103" t="n">
        <v>48</v>
      </c>
      <c r="K11" s="128" t="n">
        <v>51</v>
      </c>
      <c r="L11" s="128" t="n">
        <v>51</v>
      </c>
      <c r="M11" s="136" t="n">
        <v>57</v>
      </c>
    </row>
    <row r="12" ht="15" customHeight="1" s="110">
      <c r="A12" s="1" t="inlineStr">
        <is>
          <t>Test Files</t>
        </is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22</v>
      </c>
      <c r="G12" t="n">
        <v>29</v>
      </c>
      <c r="H12" t="n">
        <v>37</v>
      </c>
      <c r="I12" t="n">
        <v>44</v>
      </c>
      <c r="J12" s="103" t="n">
        <v>51</v>
      </c>
      <c r="K12" s="128" t="n">
        <v>57</v>
      </c>
      <c r="L12" s="128" t="n">
        <v>63</v>
      </c>
      <c r="M12" s="136" t="n">
        <v>69</v>
      </c>
    </row>
    <row r="13" ht="15" customHeight="1" s="110">
      <c r="A13" s="8" t="n"/>
      <c r="B13" s="8" t="n"/>
      <c r="C13" s="8" t="n"/>
      <c r="D13" s="8" t="n"/>
      <c r="E13" s="8" t="n"/>
      <c r="F13" s="8" t="n"/>
    </row>
    <row r="14" ht="15" customHeight="1" s="110">
      <c r="A14" s="86" t="inlineStr">
        <is>
          <t>SPRINT 2.5 DELIVERABLES</t>
        </is>
      </c>
      <c r="B14" s="83" t="n"/>
      <c r="C14" s="83" t="n"/>
      <c r="D14" s="83" t="n"/>
      <c r="E14" s="83" t="n"/>
      <c r="F14" s="83" t="n"/>
    </row>
    <row r="15" ht="15" customHeight="1" s="110">
      <c r="A15" s="8" t="n"/>
      <c r="B15" s="8" t="n"/>
      <c r="C15" s="8" t="n"/>
      <c r="D15" s="8" t="n"/>
      <c r="E15" s="8" t="n"/>
      <c r="F15" s="8" t="n"/>
    </row>
    <row r="16" ht="15" customHeight="1" s="110">
      <c r="A16" s="83" t="inlineStr">
        <is>
          <t>Agent</t>
        </is>
      </c>
      <c r="B16" s="83" t="inlineStr">
        <is>
          <t>Deliverable</t>
        </is>
      </c>
      <c r="C16" s="83" t="inlineStr">
        <is>
          <t>Files</t>
        </is>
      </c>
      <c r="D16" s="83" t="inlineStr">
        <is>
          <t>Lines</t>
        </is>
      </c>
      <c r="E16" s="83" t="inlineStr">
        <is>
          <t>Status</t>
        </is>
      </c>
      <c r="F16" s="83" t="n"/>
    </row>
    <row r="17" ht="15" customHeight="1" s="110">
      <c r="A17" s="7" t="inlineStr">
        <is>
          <t>AR - Arjun</t>
        </is>
      </c>
      <c r="B17" s="7" t="inlineStr">
        <is>
          <t>Route optimization engine (3 algorithms + ETA)</t>
        </is>
      </c>
      <c r="C17" s="7" t="n">
        <v>7</v>
      </c>
      <c r="D17" s="7" t="n">
        <v>1610</v>
      </c>
      <c r="E17" s="87" t="inlineStr">
        <is>
          <t>DONE</t>
        </is>
      </c>
      <c r="F17" s="7" t="n"/>
    </row>
    <row r="18" ht="15" customHeight="1" s="110">
      <c r="A18" t="inlineStr">
        <is>
          <t>DM - Dev</t>
        </is>
      </c>
      <c r="B18" t="inlineStr">
        <is>
          <t>Shipping profiles detail, route assign, local orders pages</t>
        </is>
      </c>
      <c r="C18" t="n">
        <v>3</v>
      </c>
      <c r="D18" t="n">
        <v>1572</v>
      </c>
      <c r="E18" s="88" t="inlineStr">
        <is>
          <t>DONE</t>
        </is>
      </c>
    </row>
    <row r="19" ht="17.25" customHeight="1" s="110">
      <c r="A19" s="21" t="inlineStr">
        <is>
          <t>NK - Neha</t>
        </is>
      </c>
      <c r="B19" t="inlineStr">
        <is>
          <t>Cart plugin components (date picker, time slots, rates)</t>
        </is>
      </c>
      <c r="C19" t="n">
        <v>5</v>
      </c>
      <c r="D19" t="n">
        <v>1817</v>
      </c>
      <c r="E19" s="88" t="inlineStr">
        <is>
          <t>DONE</t>
        </is>
      </c>
    </row>
    <row r="20" ht="26.25" customHeight="1" s="110">
      <c r="A20" s="1" t="inlineStr">
        <is>
          <t>RG - Rohan</t>
        </is>
      </c>
      <c r="B20" s="1" t="inlineStr">
        <is>
          <t>Queue consumers (4 types) + spatial queries module</t>
        </is>
      </c>
      <c r="C20" s="1" t="n">
        <v>10</v>
      </c>
      <c r="D20" s="1" t="n">
        <v>3813</v>
      </c>
      <c r="E20" s="89" t="inlineStr">
        <is>
          <t>DONE</t>
        </is>
      </c>
      <c r="F20" s="1" t="n"/>
    </row>
    <row r="21" ht="15" customHeight="1" s="110">
      <c r="A21" s="90" t="inlineStr">
        <is>
          <t>SP - Sanya</t>
        </is>
      </c>
      <c r="B21" s="5" t="inlineStr">
        <is>
          <t>Payment processing (gateway + processor + Prisma)</t>
        </is>
      </c>
      <c r="C21" s="5" t="n">
        <v>6</v>
      </c>
      <c r="D21" s="91" t="n">
        <v>2689</v>
      </c>
      <c r="E21" s="46" t="inlineStr">
        <is>
          <t>DONE</t>
        </is>
      </c>
      <c r="F21" s="90" t="n"/>
    </row>
    <row r="22" ht="15" customHeight="1" s="110">
      <c r="A22" s="58" t="inlineStr">
        <is>
          <t>VS - Vikram</t>
        </is>
      </c>
      <c r="B22" s="9" t="inlineStr">
        <is>
          <t>Shipping profiles core (rate calc, calendar, validator)</t>
        </is>
      </c>
      <c r="C22" s="9" t="n">
        <v>6</v>
      </c>
      <c r="D22" s="92" t="n">
        <v>3068</v>
      </c>
      <c r="E22" s="46" t="inlineStr">
        <is>
          <t>DONE</t>
        </is>
      </c>
      <c r="F22" s="37" t="n"/>
    </row>
    <row r="23" ht="15" customHeight="1" s="110">
      <c r="A23" s="45" t="inlineStr">
        <is>
          <t>PK - Priya</t>
        </is>
      </c>
      <c r="B23" s="5" t="inlineStr">
        <is>
          <t>Analytics engine (event tracker, aggregator, dashboard)</t>
        </is>
      </c>
      <c r="C23" s="5" t="n">
        <v>6</v>
      </c>
      <c r="D23" s="91" t="n">
        <v>2275</v>
      </c>
      <c r="E23" s="46" t="inlineStr">
        <is>
          <t>DONE</t>
        </is>
      </c>
      <c r="F23" s="90" t="n"/>
    </row>
    <row r="24" ht="15" customHeight="1" s="110">
      <c r="A24" s="59" t="inlineStr">
        <is>
          <t>KS - Kavitha</t>
        </is>
      </c>
      <c r="B24" s="9" t="inlineStr">
        <is>
          <t>8 test suites (optimizer, payments, analytics, queue, etc.)</t>
        </is>
      </c>
      <c r="C24" s="9" t="n">
        <v>8</v>
      </c>
      <c r="D24" s="92" t="n">
        <v>5184</v>
      </c>
      <c r="E24" s="46" t="inlineStr">
        <is>
          <t>DONE</t>
        </is>
      </c>
      <c r="F24" s="37" t="n"/>
    </row>
    <row r="25" ht="15" customHeight="1" s="110">
      <c r="A25" s="63" t="inlineStr">
        <is>
          <t>AM - Aisha</t>
        </is>
      </c>
      <c r="B25" s="5" t="inlineStr">
        <is>
          <t>Migration framework + location management API</t>
        </is>
      </c>
      <c r="C25" s="5" t="n">
        <v>5</v>
      </c>
      <c r="D25" s="91" t="n">
        <v>1914</v>
      </c>
      <c r="E25" s="46" t="inlineStr">
        <is>
          <t>DONE</t>
        </is>
      </c>
      <c r="F25" s="90" t="n"/>
    </row>
    <row r="26" ht="15" customHeight="1" s="110">
      <c r="A26" s="53" t="n"/>
      <c r="B26" s="9" t="n"/>
      <c r="C26" s="9" t="n"/>
      <c r="D26" s="92" t="n"/>
      <c r="E26" s="93" t="n"/>
      <c r="F26" s="37" t="n"/>
    </row>
    <row r="27" ht="15" customHeight="1" s="110">
      <c r="A27" s="94" t="inlineStr">
        <is>
          <t>SPRINT 2.6 DELIVERABLES</t>
        </is>
      </c>
      <c r="B27" s="5" t="n"/>
      <c r="C27" s="5" t="n"/>
      <c r="D27" s="91" t="n"/>
      <c r="E27" s="95" t="n"/>
      <c r="F27" s="90" t="n"/>
    </row>
    <row r="28" ht="15" customHeight="1" s="110">
      <c r="A28" s="96" t="n"/>
      <c r="B28" s="97" t="n"/>
      <c r="C28" s="97" t="n"/>
      <c r="D28" s="97" t="n"/>
      <c r="E28" s="97" t="n"/>
      <c r="F28" s="97" t="n"/>
    </row>
    <row r="29" ht="15" customHeight="1" s="110">
      <c r="A29" s="98" t="n"/>
      <c r="B29" s="98" t="n"/>
      <c r="C29" s="98" t="n"/>
      <c r="D29" s="98" t="n"/>
      <c r="E29" s="98" t="n"/>
      <c r="F29" s="90" t="n"/>
    </row>
    <row r="30" ht="15" customHeight="1" s="110">
      <c r="A30" s="84" t="n"/>
      <c r="B30" s="84" t="n"/>
      <c r="C30" s="84" t="n"/>
      <c r="D30" s="84" t="n"/>
      <c r="E30" s="84" t="n"/>
      <c r="F30" s="99" t="n"/>
    </row>
    <row r="31" ht="15" customHeight="1" s="110">
      <c r="F31" s="100" t="n"/>
    </row>
    <row r="32" ht="15" customHeight="1" s="110">
      <c r="F32" s="100" t="n"/>
    </row>
    <row r="33" ht="15" customHeight="1" s="110">
      <c r="F33" s="100" t="n"/>
    </row>
    <row r="34" ht="15" customHeight="1" s="110">
      <c r="F34" s="100" t="n"/>
    </row>
    <row r="36" ht="15" customHeight="1" s="110">
      <c r="A36" t="inlineStr">
        <is>
          <t>PK - Priya</t>
        </is>
      </c>
      <c r="B36" t="inlineStr">
        <is>
          <t>Campaign, messaging, audit, permissions API routes</t>
        </is>
      </c>
      <c r="C36" t="n">
        <v>4</v>
      </c>
      <c r="D36" t="n">
        <v>2469</v>
      </c>
      <c r="E36" t="inlineStr">
        <is>
          <t>DONE</t>
        </is>
      </c>
    </row>
    <row r="37" ht="15" customHeight="1" s="110">
      <c r="A37" t="inlineStr">
        <is>
          <t>KS - Kavitha</t>
        </is>
      </c>
      <c r="B37" t="inlineStr">
        <is>
          <t>7 test suites (RBAC, audit, dispatcher, crypto, etc.)</t>
        </is>
      </c>
      <c r="C37" t="n">
        <v>7</v>
      </c>
      <c r="D37" t="n">
        <v>4725</v>
      </c>
      <c r="E37" t="inlineStr">
        <is>
          <t>DONE</t>
        </is>
      </c>
    </row>
    <row r="38" ht="15" customHeight="1" s="110">
      <c r="A38" t="inlineStr">
        <is>
          <t>AM - Aisha</t>
        </is>
      </c>
      <c r="B38" t="inlineStr">
        <is>
          <t>Shopify campaigns, templates, audit log routes</t>
        </is>
      </c>
      <c r="C38" t="n">
        <v>5</v>
      </c>
      <c r="D38" t="n">
        <v>1628</v>
      </c>
      <c r="E38" t="inlineStr">
        <is>
          <t>DONE</t>
        </is>
      </c>
    </row>
    <row r="40" ht="16" customHeight="1" s="110">
      <c r="A40" s="104" t="inlineStr">
        <is>
          <t>SPRINT 2.7 DELIVERABLES</t>
        </is>
      </c>
    </row>
    <row r="41" ht="15" customHeight="1" s="110">
      <c r="A41" s="84" t="n"/>
    </row>
    <row r="42" ht="15" customHeight="1" s="110">
      <c r="A42" s="105" t="n"/>
      <c r="B42" s="105" t="n"/>
      <c r="C42" s="105" t="n"/>
      <c r="D42" s="105" t="n"/>
      <c r="E42" s="105" t="n"/>
      <c r="F42" s="101" t="n"/>
    </row>
    <row r="43" ht="15" customHeight="1" s="110">
      <c r="E43" s="106" t="n"/>
      <c r="F43" s="100" t="n"/>
    </row>
    <row r="44" ht="15" customHeight="1" s="110">
      <c r="E44" s="106" t="n"/>
      <c r="F44" s="100" t="n"/>
    </row>
    <row r="45" ht="15" customHeight="1" s="110">
      <c r="E45" s="106" t="n"/>
      <c r="F45" s="100" t="n"/>
    </row>
    <row r="46" ht="15" customHeight="1" s="110">
      <c r="E46" s="106" t="n"/>
      <c r="F46" s="100" t="n"/>
    </row>
    <row r="47" ht="15" customHeight="1" s="110">
      <c r="E47" s="106" t="n"/>
      <c r="F47" s="100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106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106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106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106" t="inlineStr">
        <is>
          <t>DONE</t>
        </is>
      </c>
    </row>
    <row r="53">
      <c r="A53" s="129" t="inlineStr">
        <is>
          <t>SPRINT 2.8 DELIVERABLES</t>
        </is>
      </c>
      <c r="B53" s="130" t="n"/>
      <c r="C53" s="130" t="n"/>
      <c r="D53" s="130" t="n"/>
    </row>
    <row r="54" ht="16" customHeight="1" s="110">
      <c r="A54" s="104" t="n"/>
    </row>
    <row r="55">
      <c r="A55" s="131" t="n"/>
      <c r="B55" s="131" t="n"/>
      <c r="C55" s="131" t="n"/>
      <c r="D55" s="131" t="n"/>
      <c r="E55" s="105" t="inlineStr">
        <is>
          <t>Remaining</t>
        </is>
      </c>
      <c r="F55" s="105" t="inlineStr">
        <is>
          <t>% Complete</t>
        </is>
      </c>
    </row>
    <row r="56">
      <c r="A56" s="132" t="n"/>
      <c r="B56" s="132" t="n"/>
      <c r="C56" s="133" t="n"/>
      <c r="D56" s="128" t="n"/>
      <c r="E56">
        <f>B56-C56-D56</f>
        <v/>
      </c>
      <c r="F56" s="107">
        <f>C56/B56</f>
        <v/>
      </c>
    </row>
    <row r="57">
      <c r="A57" s="132" t="n"/>
      <c r="B57" s="132" t="n"/>
      <c r="C57" s="133" t="n"/>
      <c r="D57" s="128" t="n"/>
      <c r="E57">
        <f>B57-C57-D57</f>
        <v/>
      </c>
      <c r="F57" s="107">
        <f>C57/B57</f>
        <v/>
      </c>
    </row>
    <row r="58">
      <c r="A58" s="132" t="n"/>
      <c r="B58" s="132" t="n"/>
      <c r="C58" s="133" t="n"/>
      <c r="D58" s="128" t="n"/>
      <c r="E58">
        <f>B58-C58-D58</f>
        <v/>
      </c>
      <c r="F58" s="107">
        <f>C58/B58</f>
        <v/>
      </c>
    </row>
    <row r="59">
      <c r="A59" s="132" t="n"/>
      <c r="B59" s="132" t="n"/>
      <c r="C59" s="133" t="n"/>
      <c r="D59" s="128" t="n"/>
      <c r="E59">
        <f>B59-C59-D59</f>
        <v/>
      </c>
      <c r="F59" s="107">
        <f>C59/B59</f>
        <v/>
      </c>
    </row>
    <row r="60">
      <c r="A60" s="132" t="n"/>
      <c r="B60" s="132" t="n"/>
      <c r="C60" s="133" t="n"/>
      <c r="D60" s="128" t="n"/>
      <c r="E60">
        <f>B60-C60-D60</f>
        <v/>
      </c>
      <c r="F60" s="107">
        <f>C60/B60</f>
        <v/>
      </c>
    </row>
    <row r="61">
      <c r="A61" s="132" t="inlineStr">
        <is>
          <t>VS - Vikram</t>
        </is>
      </c>
      <c r="B61" s="132" t="inlineStr">
        <is>
          <t>Standard delivery workflow pages</t>
        </is>
      </c>
      <c r="C61" s="133" t="n">
        <v>2</v>
      </c>
      <c r="D61" s="128" t="n">
        <v>600</v>
      </c>
    </row>
    <row r="62">
      <c r="A62" s="132" t="inlineStr">
        <is>
          <t>PK - Priya</t>
        </is>
      </c>
      <c r="B62" s="132" t="inlineStr">
        <is>
          <t>Docker production stack (multi-stage, compose, nginx)</t>
        </is>
      </c>
      <c r="C62" s="133" t="n">
        <v>5</v>
      </c>
      <c r="D62" s="128" t="n">
        <v>800</v>
      </c>
    </row>
    <row r="63">
      <c r="A63" s="132" t="inlineStr">
        <is>
          <t>KS - Kavitha</t>
        </is>
      </c>
      <c r="B63" s="132" t="inlineStr">
        <is>
          <t>6 test suites (auth, POS, errors, rate limit, validator, admin)</t>
        </is>
      </c>
      <c r="C63" s="133" t="n">
        <v>6</v>
      </c>
      <c r="D63" s="128" t="n">
        <v>1800</v>
      </c>
    </row>
    <row r="64">
      <c r="A64" s="132" t="inlineStr">
        <is>
          <t>AM - Aisha</t>
        </is>
      </c>
      <c r="B64" s="132" t="inlineStr">
        <is>
          <t>3 Shopify routes (auth-providers, POS index, POS detail)</t>
        </is>
      </c>
      <c r="C64" s="133" t="n">
        <v>3</v>
      </c>
      <c r="D64" s="128" t="n">
        <v>900</v>
      </c>
    </row>
    <row r="66">
      <c r="A66" s="129" t="inlineStr">
        <is>
          <t>SPRINT 2.9 DELIVERABLES</t>
        </is>
      </c>
      <c r="B66" s="130" t="n"/>
      <c r="C66" s="130" t="n"/>
      <c r="D66" s="130" t="n"/>
    </row>
    <row r="68">
      <c r="A68" s="134" t="inlineStr">
        <is>
          <t>Agent</t>
        </is>
      </c>
      <c r="B68" s="134" t="inlineStr">
        <is>
          <t>Deliverable</t>
        </is>
      </c>
      <c r="C68" s="134" t="inlineStr">
        <is>
          <t>Files</t>
        </is>
      </c>
      <c r="D68" s="134" t="inlineStr">
        <is>
          <t>Lines</t>
        </is>
      </c>
    </row>
    <row r="69">
      <c r="A69" s="132" t="inlineStr">
        <is>
          <t>AR - Arjun</t>
        </is>
      </c>
      <c r="B69" s="132" t="inlineStr">
        <is>
          <t>Workflow engine (DI container, step runner, compensation, registry, hooks)</t>
        </is>
      </c>
      <c r="C69" s="133" t="n">
        <v>10</v>
      </c>
      <c r="D69" s="128" t="n">
        <v>3100</v>
      </c>
    </row>
    <row r="70">
      <c r="A70" s="132" t="inlineStr">
        <is>
          <t>DM - Dev</t>
        </is>
      </c>
      <c r="B70" s="132" t="inlineStr">
        <is>
          <t>Workflow executions list page (StatCards, filters, search, table)</t>
        </is>
      </c>
      <c r="C70" s="133" t="n">
        <v>1</v>
      </c>
      <c r="D70" s="128" t="n">
        <v>462</v>
      </c>
    </row>
    <row r="71">
      <c r="A71" s="132" t="inlineStr">
        <is>
          <t>NK - Neha</t>
        </is>
      </c>
      <c r="B71" s="132" t="inlineStr">
        <is>
          <t>Workflow execution detail page (step timeline, JSON viewer, retry)</t>
        </is>
      </c>
      <c r="C71" s="133" t="n">
        <v>1</v>
      </c>
      <c r="D71" s="128" t="n">
        <v>701</v>
      </c>
    </row>
    <row r="72">
      <c r="A72" s="132" t="inlineStr">
        <is>
          <t>RG - Rohan</t>
        </is>
      </c>
      <c r="B72" s="132" t="inlineStr">
        <is>
          <t>3 workflow definitions (createDeliveryOrder, assignDriver, completeDelivery)</t>
        </is>
      </c>
      <c r="C72" s="133" t="n">
        <v>6</v>
      </c>
      <c r="D72" s="128" t="n">
        <v>4300</v>
      </c>
    </row>
    <row r="73">
      <c r="A73" s="132" t="inlineStr">
        <is>
          <t>SP - Sanya</t>
        </is>
      </c>
      <c r="B73" s="132" t="inlineStr">
        <is>
          <t>12 reusable workflow steps (validation, geocoding, rating, assignment, etc.)</t>
        </is>
      </c>
      <c r="C73" s="133" t="n">
        <v>9</v>
      </c>
      <c r="D73" s="128" t="n">
        <v>2439</v>
      </c>
    </row>
    <row r="74">
      <c r="A74" s="132" t="inlineStr">
        <is>
          <t>VS - Vikram</t>
        </is>
      </c>
      <c r="B74" s="132" t="inlineStr">
        <is>
          <t>BullMQ durable execution (queue, worker, scheduler, DLQ)</t>
        </is>
      </c>
      <c r="C74" s="133" t="n">
        <v>6</v>
      </c>
      <c r="D74" s="128" t="n">
        <v>1397</v>
      </c>
    </row>
    <row r="75">
      <c r="A75" s="132" t="inlineStr">
        <is>
          <t>PK - Priya</t>
        </is>
      </c>
      <c r="B75" s="132" t="inlineStr">
        <is>
          <t>4 workflow API route files (orders, drivers, delivery, executions)</t>
        </is>
      </c>
      <c r="C75" s="133" t="n">
        <v>4</v>
      </c>
      <c r="D75" s="128" t="n">
        <v>1660</v>
      </c>
    </row>
    <row r="76">
      <c r="A76" s="132" t="inlineStr">
        <is>
          <t>KS - Kavitha</t>
        </is>
      </c>
      <c r="B76" s="132" t="inlineStr">
        <is>
          <t>6 test suites (engine, container, step-runner, 3 workflow tests)</t>
        </is>
      </c>
      <c r="C76" s="133" t="n">
        <v>6</v>
      </c>
      <c r="D76" s="128" t="n">
        <v>3194</v>
      </c>
    </row>
    <row r="77">
      <c r="A77" s="132" t="inlineStr">
        <is>
          <t>AM - Aisha</t>
        </is>
      </c>
      <c r="B77" s="132" t="inlineStr">
        <is>
          <t>ADR-009 + Architecture debate (blue/red team standup)</t>
        </is>
      </c>
      <c r="C77" s="133" t="n">
        <v>2</v>
      </c>
      <c r="D77" s="128" t="n">
        <v>800</v>
      </c>
    </row>
    <row r="79">
      <c r="A79" s="129" t="inlineStr">
        <is>
          <t>COMPLETION SUMMARY</t>
        </is>
      </c>
      <c r="B79" s="130" t="n"/>
      <c r="C79" s="130" t="n"/>
      <c r="D79" s="130" t="n"/>
    </row>
    <row r="80">
      <c r="A80" s="134" t="inlineStr">
        <is>
          <t>Category</t>
        </is>
      </c>
      <c r="B80" s="134" t="inlineStr">
        <is>
          <t>Total Items</t>
        </is>
      </c>
      <c r="C80" s="134" t="n">
        <v>31</v>
      </c>
      <c r="D80" s="134" t="inlineStr">
        <is>
          <t>72.1%</t>
        </is>
      </c>
    </row>
    <row r="81">
      <c r="A81" s="132" t="inlineStr">
        <is>
          <t>Data Models</t>
        </is>
      </c>
      <c r="B81" s="133" t="n">
        <v>43</v>
      </c>
      <c r="C81" s="133" t="n">
        <v>66</v>
      </c>
      <c r="D81" s="133" t="inlineStr">
        <is>
          <t>169.2%</t>
        </is>
      </c>
    </row>
    <row r="82">
      <c r="A82" s="132" t="inlineStr">
        <is>
          <t>Feature Pages</t>
        </is>
      </c>
      <c r="B82" s="133" t="n">
        <v>39</v>
      </c>
      <c r="C82" s="133" t="n">
        <v>67</v>
      </c>
      <c r="D82" s="133" t="inlineStr">
        <is>
          <t>167.5%</t>
        </is>
      </c>
    </row>
    <row r="83">
      <c r="A83" s="132" t="inlineStr">
        <is>
          <t>API Services</t>
        </is>
      </c>
      <c r="B83" s="133" t="n">
        <v>40</v>
      </c>
      <c r="C83" s="133" t="n">
        <v>63</v>
      </c>
      <c r="D83" s="133" t="inlineStr">
        <is>
          <t>157.5%</t>
        </is>
      </c>
    </row>
    <row r="84">
      <c r="A84" s="132" t="inlineStr">
        <is>
          <t>Infrastructure</t>
        </is>
      </c>
      <c r="B84" s="133" t="n">
        <v>24</v>
      </c>
      <c r="C84" s="133" t="n">
        <v>38</v>
      </c>
      <c r="D84" s="133" t="inlineStr">
        <is>
          <t>90.5%</t>
        </is>
      </c>
    </row>
    <row r="85">
      <c r="A85" s="132" t="inlineStr">
        <is>
          <t>Roadmap Items</t>
        </is>
      </c>
      <c r="B85" s="133" t="n">
        <v>42</v>
      </c>
      <c r="C85" s="133" t="n">
        <v>35</v>
      </c>
      <c r="D85" s="133" t="inlineStr">
        <is>
          <t>83.3%</t>
        </is>
      </c>
    </row>
    <row r="87">
      <c r="A87" s="129" t="inlineStr">
        <is>
          <t>SPRINT 3.0 PLANNED</t>
        </is>
      </c>
      <c r="B87" s="130" t="n"/>
      <c r="C87" s="130" t="n"/>
      <c r="D87" s="130" t="n"/>
    </row>
    <row r="89">
      <c r="A89" s="134" t="inlineStr">
        <is>
          <t>Agent</t>
        </is>
      </c>
      <c r="B89" s="134" t="inlineStr">
        <is>
          <t>Deliverable</t>
        </is>
      </c>
      <c r="C89" s="134" t="inlineStr">
        <is>
          <t>Focus</t>
        </is>
      </c>
      <c r="D89" s="134" t="inlineStr">
        <is>
          <t>Category</t>
        </is>
      </c>
    </row>
    <row r="90">
      <c r="A90" s="132" t="inlineStr">
        <is>
          <t>AR - Arjun</t>
        </is>
      </c>
      <c r="B90" s="132" t="inlineStr">
        <is>
          <t>Event bus + ADR-010 event architecture</t>
        </is>
      </c>
      <c r="C90" s="133" t="inlineStr">
        <is>
          <t>Backend</t>
        </is>
      </c>
      <c r="D90" s="133" t="inlineStr">
        <is>
          <t>Architecture</t>
        </is>
      </c>
    </row>
    <row r="91">
      <c r="A91" s="132" t="inlineStr">
        <is>
          <t>DM - Dev</t>
        </is>
      </c>
      <c r="B91" s="132" t="inlineStr">
        <is>
          <t>shadcn/ui migration Phase 1 (Button, Card, Badge, Input, Select, Modal)</t>
        </is>
      </c>
      <c r="C91" s="133" t="inlineStr">
        <is>
          <t>Frontend</t>
        </is>
      </c>
      <c r="D91" s="133" t="inlineStr">
        <is>
          <t>Design System</t>
        </is>
      </c>
    </row>
    <row r="92">
      <c r="A92" s="132" t="inlineStr">
        <is>
          <t>NK - Neha</t>
        </is>
      </c>
      <c r="B92" s="132" t="inlineStr">
        <is>
          <t>shadcn/ui migration Phase 2 (Table, Tabs, Toast, StatCard, EmptyState)</t>
        </is>
      </c>
      <c r="C92" s="133" t="inlineStr">
        <is>
          <t>Frontend</t>
        </is>
      </c>
      <c r="D92" s="133" t="inlineStr">
        <is>
          <t>Design System</t>
        </is>
      </c>
    </row>
    <row r="93">
      <c r="A93" s="132" t="inlineStr">
        <is>
          <t>RG - Rohan</t>
        </is>
      </c>
      <c r="B93" s="132" t="inlineStr">
        <is>
          <t>Workflow-API integration (wire workflows into existing endpoints)</t>
        </is>
      </c>
      <c r="C93" s="133" t="inlineStr">
        <is>
          <t>Backend</t>
        </is>
      </c>
      <c r="D93" s="133" t="inlineStr">
        <is>
          <t>Integration</t>
        </is>
      </c>
    </row>
    <row r="94">
      <c r="A94" s="132" t="inlineStr">
        <is>
          <t>SP - Sanya</t>
        </is>
      </c>
      <c r="B94" s="132" t="inlineStr">
        <is>
          <t>Webhook system (registration, signing, retry, delivery tracking)</t>
        </is>
      </c>
      <c r="C94" s="133" t="inlineStr">
        <is>
          <t>Full-stack</t>
        </is>
      </c>
      <c r="D94" s="133" t="inlineStr">
        <is>
          <t>Events</t>
        </is>
      </c>
    </row>
    <row r="95">
      <c r="A95" s="132" t="inlineStr">
        <is>
          <t>VS - Vikram</t>
        </is>
      </c>
      <c r="B95" s="132" t="inlineStr">
        <is>
          <t>Tailwind CSS 4 + design tokens bridge (--wl-* → Tailwind)</t>
        </is>
      </c>
      <c r="C95" s="133" t="inlineStr">
        <is>
          <t>Frontend</t>
        </is>
      </c>
      <c r="D95" s="133" t="inlineStr">
        <is>
          <t>Design System</t>
        </is>
      </c>
    </row>
    <row r="96">
      <c r="A96" s="132" t="inlineStr">
        <is>
          <t>PK - Priya</t>
        </is>
      </c>
      <c r="B96" s="132" t="inlineStr">
        <is>
          <t>Socket.io workflow events + real-time step progression</t>
        </is>
      </c>
      <c r="C96" s="133" t="inlineStr">
        <is>
          <t>Backend</t>
        </is>
      </c>
      <c r="D96" s="133" t="inlineStr">
        <is>
          <t>Events</t>
        </is>
      </c>
    </row>
    <row r="97">
      <c r="A97" s="132" t="inlineStr">
        <is>
          <t>KS - Kavitha</t>
        </is>
      </c>
      <c r="B97" s="132" t="inlineStr">
        <is>
          <t>Integration tests + component visual regression tests</t>
        </is>
      </c>
      <c r="C97" s="133" t="inlineStr">
        <is>
          <t>QA</t>
        </is>
      </c>
      <c r="D97" s="133" t="inlineStr">
        <is>
          <t>Testing</t>
        </is>
      </c>
    </row>
    <row r="98">
      <c r="A98" s="132" t="inlineStr">
        <is>
          <t>AM - Aisha</t>
        </is>
      </c>
      <c r="B98" s="132" t="inlineStr">
        <is>
          <t>Shopify workflow triggers + webhook management UI</t>
        </is>
      </c>
      <c r="C98" s="133" t="inlineStr">
        <is>
          <t>Integration</t>
        </is>
      </c>
      <c r="D98" s="133" t="inlineStr">
        <is>
          <t>Shopify</t>
        </is>
      </c>
    </row>
    <row r="100">
      <c r="A100" s="137" t="inlineStr">
        <is>
          <t>SPRINT 3.0 DELIVERABLES</t>
        </is>
      </c>
    </row>
    <row r="102">
      <c r="A102" s="135" t="inlineStr">
        <is>
          <t>Agent</t>
        </is>
      </c>
      <c r="B102" s="135" t="inlineStr">
        <is>
          <t>Deliverable</t>
        </is>
      </c>
      <c r="C102" s="135" t="inlineStr">
        <is>
          <t>Files</t>
        </is>
      </c>
      <c r="D102" s="135" t="inlineStr">
        <is>
          <t>Lines</t>
        </is>
      </c>
      <c r="E102" s="135" t="inlineStr">
        <is>
          <t>Status</t>
        </is>
      </c>
    </row>
    <row r="103">
      <c r="A103" t="inlineStr">
        <is>
          <t>AR - Arjun</t>
        </is>
      </c>
      <c r="B103" t="inlineStr">
        <is>
          <t>TypedEventBus (Redis Streams + InMemory), ADR-010</t>
        </is>
      </c>
      <c r="C103" s="136" t="n">
        <v>7</v>
      </c>
      <c r="D103" s="136" t="n">
        <v>2873</v>
      </c>
      <c r="E103" s="138" t="inlineStr">
        <is>
          <t>DONE</t>
        </is>
      </c>
    </row>
    <row r="104">
      <c r="A104" t="inlineStr">
        <is>
          <t>DM - Dev</t>
        </is>
      </c>
      <c r="B104" t="inlineStr">
        <is>
          <t>shadcn/ui Phase 1: button, card, badge, input, select, modal + Tailwind config</t>
        </is>
      </c>
      <c r="C104" s="136" t="n">
        <v>9</v>
      </c>
      <c r="D104" s="136" t="n">
        <v>546</v>
      </c>
      <c r="E104" s="138" t="inlineStr">
        <is>
          <t>DONE</t>
        </is>
      </c>
    </row>
    <row r="105">
      <c r="A105" t="inlineStr">
        <is>
          <t>NK - Neha</t>
        </is>
      </c>
      <c r="B105" t="inlineStr">
        <is>
          <t>shadcn/ui Phase 2: table, tabs, toast, stat-card, empty-state + dropdown/skeleton/tooltip</t>
        </is>
      </c>
      <c r="C105" s="136" t="n">
        <v>8</v>
      </c>
      <c r="D105" s="136" t="n">
        <v>866</v>
      </c>
      <c r="E105" s="138" t="inlineStr">
        <is>
          <t>DONE</t>
        </is>
      </c>
    </row>
    <row r="106">
      <c r="A106" t="inlineStr">
        <is>
          <t>RG - Rohan</t>
        </is>
      </c>
      <c r="B106" t="inlineStr">
        <is>
          <t>Workflow-API integration (auto-trigger, hooks, Fastify plugin)</t>
        </is>
      </c>
      <c r="C106" s="136" t="n">
        <v>4</v>
      </c>
      <c r="D106" s="136" t="n">
        <v>1348</v>
      </c>
      <c r="E106" s="138" t="inlineStr">
        <is>
          <t>DONE</t>
        </is>
      </c>
    </row>
    <row r="107">
      <c r="A107" t="inlineStr">
        <is>
          <t>SP - Sanya</t>
        </is>
      </c>
      <c r="B107" t="inlineStr">
        <is>
          <t>Outbound webhook system (manager, delivery, processor, emitter, routes, Prisma)</t>
        </is>
      </c>
      <c r="C107" s="136" t="n">
        <v>8</v>
      </c>
      <c r="D107" s="136" t="n">
        <v>2186</v>
      </c>
      <c r="E107" s="138" t="inlineStr">
        <is>
          <t>DONE</t>
        </is>
      </c>
    </row>
    <row r="108">
      <c r="A108" t="inlineStr">
        <is>
          <t>VS - Vikram</t>
        </is>
      </c>
      <c r="B108" t="inlineStr">
        <is>
          <t>Design system foundation (tokens, header/sidebar migration, barrel export, gallery)</t>
        </is>
      </c>
      <c r="C108" s="136" t="n">
        <v>5</v>
      </c>
      <c r="D108" s="136" t="n">
        <v>1255</v>
      </c>
      <c r="E108" s="138" t="inlineStr">
        <is>
          <t>DONE</t>
        </is>
      </c>
    </row>
    <row r="109">
      <c r="A109" t="inlineStr">
        <is>
          <t>PK - Priya</t>
        </is>
      </c>
      <c r="B109" t="inlineStr">
        <is>
          <t>Socket.io realtime workflow events + SSE fallback + plugin</t>
        </is>
      </c>
      <c r="C109" s="136" t="n">
        <v>5</v>
      </c>
      <c r="D109" s="136" t="n">
        <v>1208</v>
      </c>
      <c r="E109" s="138" t="inlineStr">
        <is>
          <t>DONE</t>
        </is>
      </c>
    </row>
    <row r="110">
      <c r="A110" t="inlineStr">
        <is>
          <t>KS - Kavitha</t>
        </is>
      </c>
      <c r="B110" t="inlineStr">
        <is>
          <t>6 test suites (event-bus, webhook, workflow-integration, realtime, UI, routes)</t>
        </is>
      </c>
      <c r="C110" s="136" t="n">
        <v>6</v>
      </c>
      <c r="D110" s="136" t="n">
        <v>2183</v>
      </c>
      <c r="E110" s="138" t="inlineStr">
        <is>
          <t>DONE</t>
        </is>
      </c>
    </row>
    <row r="111">
      <c r="A111" t="inlineStr">
        <is>
          <t>AM - Aisha</t>
        </is>
      </c>
      <c r="B111" t="inlineStr">
        <is>
          <t>Shopify webhook management (API handler, config, detail, event picker)</t>
        </is>
      </c>
      <c r="C111" s="136" t="n">
        <v>4</v>
      </c>
      <c r="D111" s="136" t="n">
        <v>1884</v>
      </c>
      <c r="E111" s="138" t="inlineStr">
        <is>
          <t>DONE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8" customWidth="1" style="110" min="1" max="1"/>
    <col width="28" customWidth="1" style="110" min="2" max="2"/>
    <col width="18" customWidth="1" style="110" min="3" max="3"/>
    <col width="55" customWidth="1" style="110" min="4" max="4"/>
    <col width="50" customWidth="1" style="110" min="5" max="5"/>
    <col width="10" customWidth="1" style="110" min="6" max="6"/>
    <col width="15" customWidth="1" style="110" min="7" max="7"/>
  </cols>
  <sheetData>
    <row r="1">
      <c r="A1" s="113" t="inlineStr">
        <is>
          <t>WITYLOGIX — STANDUP NOTES &amp; ACTION ITEMS</t>
        </is>
      </c>
    </row>
    <row r="2">
      <c r="A2" s="114" t="inlineStr">
        <is>
          <t>Architecture Pivot Debate — 2026-03-07 | Sprint 2.9 Kickoff</t>
        </is>
      </c>
    </row>
    <row r="4">
      <c r="A4" s="115" t="inlineStr">
        <is>
          <t>FOUNDER'S DECISION</t>
        </is>
      </c>
    </row>
    <row r="5">
      <c r="A5" s="116" t="inlineStr">
        <is>
          <t>Adopt Medusa v2-inspired patterns — Phased &amp; Pragmatic</t>
        </is>
      </c>
    </row>
    <row r="7">
      <c r="A7" s="117" t="inlineStr">
        <is>
          <t>Phase</t>
        </is>
      </c>
      <c r="B7" s="117" t="inlineStr">
        <is>
          <t>Trigger</t>
        </is>
      </c>
      <c r="C7" s="117" t="inlineStr">
        <is>
          <t>Scope</t>
        </is>
      </c>
      <c r="D7" s="117" t="inlineStr">
        <is>
          <t>Key Deliverables</t>
        </is>
      </c>
      <c r="E7" s="117" t="inlineStr">
        <is>
          <t>Status</t>
        </is>
      </c>
    </row>
    <row r="8">
      <c r="A8" s="118" t="inlineStr">
        <is>
          <t>Phase 1: Sprint 2.9-3.0</t>
        </is>
      </c>
      <c r="B8" s="118" t="inlineStr">
        <is>
          <t>NOW</t>
        </is>
      </c>
      <c r="C8" s="118" t="inlineStr">
        <is>
          <t>Workflow Engine ONLY</t>
        </is>
      </c>
      <c r="D8" s="118" t="inlineStr">
        <is>
          <t>packages/framework/, 3 core workflows (createDeliveryOrder, assignDriver, completeDelivery), BullMQ backing</t>
        </is>
      </c>
      <c r="E8" s="119" t="inlineStr">
        <is>
          <t>Sprint 2.9 — In Progress</t>
        </is>
      </c>
    </row>
    <row r="9">
      <c r="A9" s="118" t="inlineStr">
        <is>
          <t>Phase 2: After 10 customers</t>
        </is>
      </c>
      <c r="B9" s="118" t="inlineStr">
        <is>
          <t>10 paying customers</t>
        </is>
      </c>
      <c r="C9" s="118" t="inlineStr">
        <is>
          <t>Event Bus</t>
        </is>
      </c>
      <c r="D9" s="118" t="inlineStr">
        <is>
          <t>Redis-backed event bus, notification/analytics/webhook subscribers, event-driven side effects</t>
        </is>
      </c>
      <c r="E9" s="120" t="inlineStr">
        <is>
          <t>Deferred</t>
        </is>
      </c>
    </row>
    <row r="10">
      <c r="A10" s="118" t="inlineStr">
        <is>
          <t>Phase 3: After 50 customers</t>
        </is>
      </c>
      <c r="B10" s="118" t="inlineStr">
        <is>
          <t>50 paying customers</t>
        </is>
      </c>
      <c r="C10" s="118" t="inlineStr">
        <is>
          <t>Module Links + Plugin System</t>
        </is>
      </c>
      <c r="D10" s="118" t="inlineStr">
        <is>
          <t>defineLink cross-module relations, plugin API (modules+workflows+hooks+subscribers as npm packages)</t>
        </is>
      </c>
      <c r="E10" s="120" t="inlineStr">
        <is>
          <t>Deferred</t>
        </is>
      </c>
    </row>
    <row r="13">
      <c r="A13" s="115" t="inlineStr">
        <is>
          <t>BLUE/RED TEAM CONSENSUS</t>
        </is>
      </c>
    </row>
    <row r="14">
      <c r="A14" s="121" t="inlineStr">
        <is>
          <t>Agreement</t>
        </is>
      </c>
      <c r="B14" s="121" t="inlineStr">
        <is>
          <t>Blue Team Position</t>
        </is>
      </c>
      <c r="C14" s="121" t="inlineStr">
        <is>
          <t>Red Team Position</t>
        </is>
      </c>
      <c r="D14" s="121" t="inlineStr">
        <is>
          <t>Resolution</t>
        </is>
      </c>
    </row>
    <row r="15">
      <c r="A15" s="118" t="inlineStr">
        <is>
          <t>BYOK Pattern</t>
        </is>
      </c>
      <c r="B15" s="118" t="inlineStr">
        <is>
          <t>Keep it</t>
        </is>
      </c>
      <c r="C15" s="118" t="inlineStr">
        <is>
          <t>Keep it</t>
        </is>
      </c>
      <c r="D15" s="122" t="inlineStr">
        <is>
          <t>Unanimous — BYOK stays</t>
        </is>
      </c>
    </row>
    <row r="16">
      <c r="A16" s="118" t="inlineStr">
        <is>
          <t>Prisma ORM</t>
        </is>
      </c>
      <c r="B16" s="118" t="inlineStr">
        <is>
          <t>Keep it (no DML/MikroORM)</t>
        </is>
      </c>
      <c r="C16" s="118" t="inlineStr">
        <is>
          <t>Keep it</t>
        </is>
      </c>
      <c r="D16" s="122" t="inlineStr">
        <is>
          <t>Unanimous — Prisma stays</t>
        </is>
      </c>
    </row>
    <row r="17">
      <c r="A17" s="118" t="inlineStr">
        <is>
          <t>Fastify Framework</t>
        </is>
      </c>
      <c r="B17" s="118" t="inlineStr">
        <is>
          <t>Keep it</t>
        </is>
      </c>
      <c r="C17" s="118" t="inlineStr">
        <is>
          <t>Keep it</t>
        </is>
      </c>
      <c r="D17" s="122" t="inlineStr">
        <is>
          <t>Unanimous — Fastify stays</t>
        </is>
      </c>
    </row>
    <row r="18">
      <c r="A18" s="118" t="inlineStr">
        <is>
          <t>RLS Multi-tenancy</t>
        </is>
      </c>
      <c r="B18" s="118" t="inlineStr">
        <is>
          <t>Keep it</t>
        </is>
      </c>
      <c r="C18" s="118" t="inlineStr">
        <is>
          <t>Keep it</t>
        </is>
      </c>
      <c r="D18" s="122" t="inlineStr">
        <is>
          <t>Unanimous — RLS stays</t>
        </is>
      </c>
    </row>
    <row r="19">
      <c r="A19" s="118" t="inlineStr">
        <is>
          <t>Workflow Engine</t>
        </is>
      </c>
      <c r="B19" s="118" t="inlineStr">
        <is>
          <t>Build NOW in Sprint 2.9</t>
        </is>
      </c>
      <c r="C19" s="118" t="inlineStr">
        <is>
          <t>Defer until pain is proven</t>
        </is>
      </c>
      <c r="D19" s="123" t="inlineStr">
        <is>
          <t>Blue won — build NOW, prove on 3 workflows</t>
        </is>
      </c>
    </row>
    <row r="20">
      <c r="A20" s="118" t="inlineStr">
        <is>
          <t>Event Bus</t>
        </is>
      </c>
      <c r="B20" s="118" t="inlineStr">
        <is>
          <t>Build in Phase 1</t>
        </is>
      </c>
      <c r="C20" s="118" t="inlineStr">
        <is>
          <t>Defer until 10 customers</t>
        </is>
      </c>
      <c r="D20" s="124" t="inlineStr">
        <is>
          <t>Red won — defer to Phase 2</t>
        </is>
      </c>
    </row>
    <row r="21">
      <c r="A21" s="118" t="inlineStr">
        <is>
          <t>Module Links</t>
        </is>
      </c>
      <c r="B21" s="118" t="inlineStr">
        <is>
          <t>Build in Phase 2</t>
        </is>
      </c>
      <c r="C21" s="118" t="inlineStr">
        <is>
          <t>Defer until 50 customers</t>
        </is>
      </c>
      <c r="D21" s="124" t="inlineStr">
        <is>
          <t>Red won — defer to Phase 3</t>
        </is>
      </c>
    </row>
    <row r="22">
      <c r="A22" s="118" t="inlineStr">
        <is>
          <t>Plugin System</t>
        </is>
      </c>
      <c r="B22" s="118" t="inlineStr">
        <is>
          <t>Build in Phase 2</t>
        </is>
      </c>
      <c r="C22" s="118" t="inlineStr">
        <is>
          <t>Defer until customer demand</t>
        </is>
      </c>
      <c r="D22" s="124" t="inlineStr">
        <is>
          <t>Red won — defer to Phase 3</t>
        </is>
      </c>
    </row>
    <row r="23">
      <c r="A23" s="118" t="inlineStr">
        <is>
          <t>18-Month Roadmap</t>
        </is>
      </c>
      <c r="B23" s="118" t="inlineStr">
        <is>
          <t>Commit to full timeline</t>
        </is>
      </c>
      <c r="C23" s="118" t="inlineStr">
        <is>
          <t>Re-evaluate after each phase</t>
        </is>
      </c>
      <c r="D23" s="124" t="inlineStr">
        <is>
          <t>Red won — no timeline commitment</t>
        </is>
      </c>
    </row>
    <row r="26">
      <c r="A26" s="115" t="inlineStr">
        <is>
          <t>SPRINT 2.9 ACTION ITEMS</t>
        </is>
      </c>
    </row>
    <row r="27">
      <c r="A27" s="125" t="inlineStr">
        <is>
          <t>ID</t>
        </is>
      </c>
      <c r="B27" s="125" t="inlineStr">
        <is>
          <t>Owner</t>
        </is>
      </c>
      <c r="C27" s="125" t="inlineStr">
        <is>
          <t>Squad</t>
        </is>
      </c>
      <c r="D27" s="125" t="inlineStr">
        <is>
          <t>Action</t>
        </is>
      </c>
      <c r="E27" s="125" t="inlineStr">
        <is>
          <t>Deliverable</t>
        </is>
      </c>
      <c r="F27" s="125" t="inlineStr">
        <is>
          <t>Sprint</t>
        </is>
      </c>
      <c r="G27" s="125" t="inlineStr">
        <is>
          <t>Status</t>
        </is>
      </c>
    </row>
    <row r="28">
      <c r="A28" s="118" t="n">
        <v>1</v>
      </c>
      <c r="B28" s="118" t="inlineStr">
        <is>
          <t>AR - Arjun</t>
        </is>
      </c>
      <c r="C28" s="118" t="inlineStr">
        <is>
          <t>Architecture</t>
        </is>
      </c>
      <c r="D28" s="118" t="inlineStr">
        <is>
          <t>Design packages/framework/ with workflow engine, container DI, step runner</t>
        </is>
      </c>
      <c r="E28" s="118" t="inlineStr">
        <is>
          <t>Workflow engine framework (10 files, 1,738 lines)</t>
        </is>
      </c>
      <c r="F28" s="118" t="inlineStr">
        <is>
          <t>2.9</t>
        </is>
      </c>
      <c r="G28" s="126" t="inlineStr">
        <is>
          <t>Done</t>
        </is>
      </c>
    </row>
    <row r="29">
      <c r="A29" s="118" t="n">
        <v>2</v>
      </c>
      <c r="B29" s="118" t="inlineStr">
        <is>
          <t>RG - Rohan</t>
        </is>
      </c>
      <c r="C29" s="118" t="inlineStr">
        <is>
          <t>Core Backend</t>
        </is>
      </c>
      <c r="D29" s="118" t="inlineStr">
        <is>
          <t>Define interfaces for WorkflowStep, WorkflowContext, StepCompensation</t>
        </is>
      </c>
      <c r="E29" s="118" t="inlineStr">
        <is>
          <t>Workflow steps library (12 steps, 2,413 lines)</t>
        </is>
      </c>
      <c r="F29" s="118" t="inlineStr">
        <is>
          <t>2.9</t>
        </is>
      </c>
      <c r="G29" s="126" t="inlineStr">
        <is>
          <t>Done</t>
        </is>
      </c>
    </row>
    <row r="30">
      <c r="A30" s="118" t="n">
        <v>3</v>
      </c>
      <c r="B30" s="118" t="inlineStr">
        <is>
          <t>PK - Priya</t>
        </is>
      </c>
      <c r="C30" s="118" t="inlineStr">
        <is>
          <t>Core Backend</t>
        </is>
      </c>
      <c r="D30" s="118" t="inlineStr">
        <is>
          <t>Implement createDeliveryOrderWorkflow as proof-of-concept</t>
        </is>
      </c>
      <c r="E30" s="118" t="inlineStr">
        <is>
          <t>9-step workflow with 3-step compensation (1,496 lines)</t>
        </is>
      </c>
      <c r="F30" s="118" t="inlineStr">
        <is>
          <t>2.9</t>
        </is>
      </c>
      <c r="G30" s="126" t="inlineStr">
        <is>
          <t>Done</t>
        </is>
      </c>
    </row>
    <row r="31">
      <c r="A31" s="118" t="n">
        <v>4</v>
      </c>
      <c r="B31" s="118" t="inlineStr">
        <is>
          <t>SP - Sanya</t>
        </is>
      </c>
      <c r="C31" s="118" t="inlineStr">
        <is>
          <t>Core Backend</t>
        </is>
      </c>
      <c r="D31" s="118" t="inlineStr">
        <is>
          <t>Implement assignDriverWorkflow using the framework</t>
        </is>
      </c>
      <c r="E31" s="118" t="inlineStr">
        <is>
          <t>10-step workflow with scoring algorithm (1,239 lines)</t>
        </is>
      </c>
      <c r="F31" s="118" t="inlineStr">
        <is>
          <t>2.9</t>
        </is>
      </c>
      <c r="G31" s="126" t="inlineStr">
        <is>
          <t>Done</t>
        </is>
      </c>
    </row>
    <row r="32">
      <c r="A32" s="118" t="n">
        <v>5</v>
      </c>
      <c r="B32" s="118" t="inlineStr">
        <is>
          <t>NK - Neha</t>
        </is>
      </c>
      <c r="C32" s="118" t="inlineStr">
        <is>
          <t>Core Backend</t>
        </is>
      </c>
      <c r="D32" s="118" t="inlineStr">
        <is>
          <t>Implement completeDeliveryWorkflow</t>
        </is>
      </c>
      <c r="E32" s="118" t="inlineStr">
        <is>
          <t>11-step workflow with POD verification (1,576 lines)</t>
        </is>
      </c>
      <c r="F32" s="118" t="inlineStr">
        <is>
          <t>2.9</t>
        </is>
      </c>
      <c r="G32" s="126" t="inlineStr">
        <is>
          <t>Done</t>
        </is>
      </c>
    </row>
    <row r="33">
      <c r="A33" s="118" t="n">
        <v>6</v>
      </c>
      <c r="B33" s="118" t="inlineStr">
        <is>
          <t>KS - Kavitha</t>
        </is>
      </c>
      <c r="C33" s="118" t="inlineStr">
        <is>
          <t>QA</t>
        </is>
      </c>
      <c r="D33" s="118" t="inlineStr">
        <is>
          <t>Write test suites for all 3 workflows (step + workflow level)</t>
        </is>
      </c>
      <c r="E33" s="118" t="inlineStr">
        <is>
          <t>6 test files, 240+ test cases (3,194 lines)</t>
        </is>
      </c>
      <c r="F33" s="118" t="inlineStr">
        <is>
          <t>2.9</t>
        </is>
      </c>
      <c r="G33" s="126" t="inlineStr">
        <is>
          <t>Done</t>
        </is>
      </c>
    </row>
    <row r="34">
      <c r="A34" s="118" t="n">
        <v>7</v>
      </c>
      <c r="B34" s="118" t="inlineStr">
        <is>
          <t>DM - Dev</t>
        </is>
      </c>
      <c r="C34" s="118" t="inlineStr">
        <is>
          <t>Frontend</t>
        </is>
      </c>
      <c r="D34" s="118" t="inlineStr">
        <is>
          <t>Dashboard page: workflow execution viewer</t>
        </is>
      </c>
      <c r="E34" s="118" t="inlineStr">
        <is>
          <t>List + detail pages with step timeline (1,163 lines)</t>
        </is>
      </c>
      <c r="F34" s="118" t="inlineStr">
        <is>
          <t>2.9</t>
        </is>
      </c>
      <c r="G34" s="126" t="inlineStr">
        <is>
          <t>Done</t>
        </is>
      </c>
    </row>
    <row r="35">
      <c r="A35" s="118" t="n">
        <v>8</v>
      </c>
      <c r="B35" s="118" t="inlineStr">
        <is>
          <t>VS - Vikram</t>
        </is>
      </c>
      <c r="C35" s="118" t="inlineStr">
        <is>
          <t>Core Backend</t>
        </is>
      </c>
      <c r="D35" s="118" t="inlineStr">
        <is>
          <t>Refactor 3 existing API routes to call workflows</t>
        </is>
      </c>
      <c r="E35" s="118" t="inlineStr">
        <is>
          <t>4 workflow route files (1,660 lines)</t>
        </is>
      </c>
      <c r="F35" s="118" t="inlineStr">
        <is>
          <t>2.9</t>
        </is>
      </c>
      <c r="G35" s="126" t="inlineStr">
        <is>
          <t>Done</t>
        </is>
      </c>
    </row>
    <row r="36">
      <c r="A36" s="118" t="n">
        <v>9</v>
      </c>
      <c r="B36" s="118" t="inlineStr">
        <is>
          <t>AM - Aisha</t>
        </is>
      </c>
      <c r="C36" s="118" t="inlineStr">
        <is>
          <t>Platform</t>
        </is>
      </c>
      <c r="D36" s="118" t="inlineStr">
        <is>
          <t>BullMQ integration for durable workflow execution</t>
        </is>
      </c>
      <c r="E36" s="118" t="inlineStr">
        <is>
          <t>Queue, worker, scheduler, dead-letter (1,397 lines)</t>
        </is>
      </c>
      <c r="F36" s="118" t="inlineStr">
        <is>
          <t>2.9</t>
        </is>
      </c>
      <c r="G36" s="126" t="inlineStr">
        <is>
          <t>Done</t>
        </is>
      </c>
    </row>
    <row r="37">
      <c r="A37" s="118" t="n">
        <v>10</v>
      </c>
      <c r="B37" s="118" t="inlineStr">
        <is>
          <t>ALL</t>
        </is>
      </c>
      <c r="C37" s="118" t="inlineStr">
        <is>
          <t>ALL</t>
        </is>
      </c>
      <c r="D37" s="118" t="inlineStr">
        <is>
          <t>After Sprint 2.9: review, retrospective, decide Phase 2 scope</t>
        </is>
      </c>
      <c r="E37" s="118" t="inlineStr">
        <is>
          <t>Retrospective document</t>
        </is>
      </c>
      <c r="F37" s="118" t="inlineStr">
        <is>
          <t>3.0</t>
        </is>
      </c>
      <c r="G37" s="120" t="inlineStr">
        <is>
          <t>Planned</t>
        </is>
      </c>
    </row>
    <row r="40">
      <c r="A40" s="115" t="inlineStr">
        <is>
          <t>REFERENCE DOCUMENTS</t>
        </is>
      </c>
    </row>
    <row r="41">
      <c r="A41" t="inlineStr">
        <is>
          <t>ADR-009:</t>
        </is>
      </c>
      <c r="B41" t="inlineStr">
        <is>
          <t>docs/adr/ADR-009-medusa-inspired-architecture-evolution.md</t>
        </is>
      </c>
    </row>
    <row r="42">
      <c r="A42" t="inlineStr">
        <is>
          <t>Standup Notes:</t>
        </is>
      </c>
      <c r="B42" t="inlineStr">
        <is>
          <t>docs/sprint-notes/STANDUP-2026-03-07-architecture-debate.md</t>
        </is>
      </c>
    </row>
    <row r="43">
      <c r="A43" t="inlineStr">
        <is>
          <t>Blue Team:</t>
        </is>
      </c>
      <c r="B43" t="inlineStr">
        <is>
          <t>AR (CTO), DM (Frontend), NK (Frontend Lead), KS (QA Lead)</t>
        </is>
      </c>
    </row>
    <row r="44">
      <c r="A44" t="inlineStr">
        <is>
          <t>Red Team:</t>
        </is>
      </c>
      <c r="B44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2026-03-07T19:20:42Z</dcterms:modified>
  <cp:lastModifiedBy>Kiranjeet Seehra</cp:lastModifiedBy>
  <cp:revision>0</cp:revision>
</cp:coreProperties>
</file>