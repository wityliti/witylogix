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Team Directory" sheetId="1" state="visible" r:id="rId3"/>
    <sheet name="Executive Summary" sheetId="2" state="visible" r:id="rId4"/>
    <sheet name="Competitive Gap Tracker" sheetId="3" state="visible" r:id="rId5"/>
    <sheet name="Data Models Gap" sheetId="4" state="visible" r:id="rId6"/>
    <sheet name="Feature Gap - Pages" sheetId="5" state="visible" r:id="rId7"/>
    <sheet name="Service &amp; API Gap" sheetId="6" state="visible" r:id="rId8"/>
    <sheet name="Infrastructure Gap" sheetId="7" state="visible" r:id="rId9"/>
    <sheet name="Priority Roadmap" sheetId="8" state="visible" r:id="rId10"/>
    <sheet name="Statistics" sheetId="9" state="visible" r:id="rId11"/>
    <sheet name="Standup Notes &amp; Actions" sheetId="10" state="visible" r:id="rId12"/>
    <sheet name="Sprint 3.5 Plan" sheetId="11" state="visible" r:id="rId13"/>
    <sheet name="Sprint 3.6 Plan" sheetId="12" state="visible" r:id="rId14"/>
    <sheet name="Sprint 3.7 Plan" sheetId="13" state="visible" r:id="rId15"/>
    <sheet name="Sprint 3.8 Plan" sheetId="14" state="visible" r:id="rId16"/>
    <sheet name="Sprint 3.9 Plan" sheetId="15" state="visible" r:id="rId17"/>
    <sheet name="Sprint 4.0 Plan" sheetId="16" state="visible" r:id="rId18"/>
    <sheet name="Sprint 4.1 Plan" sheetId="17" state="visible" r:id="rId19"/>
    <sheet name="Sprint 4.2 Plan" sheetId="18" state="visible" r:id="rId20"/>
    <sheet name="Sprint 4.3 Plan" sheetId="19" state="visible" r:id="rId21"/>
    <sheet name="Sprint 4.4 Plan" sheetId="20" state="visible" r:id="rId22"/>
    <sheet name="Sprint 4.5 Plan" sheetId="21" state="visible" r:id="rId23"/>
  </sheets>
  <definedNames>
    <definedName function="false" hidden="true" localSheetId="3" name="_xlnm._FilterDatabase" vbProcedure="false">'Data Models Gap'!$A$1:$K$40</definedName>
    <definedName function="false" hidden="true" localSheetId="4" name="_xlnm._FilterDatabase" vbProcedure="false">'Feature Gap - Pages'!$A$1:$J$34</definedName>
    <definedName function="false" hidden="true" localSheetId="6" name="_xlnm._FilterDatabase" vbProcedure="false">'Infrastructure Gap'!$A$1:$J$21</definedName>
    <definedName function="false" hidden="true" localSheetId="7" name="_xlnm._FilterDatabase" vbProcedure="false">'Priority Roadmap'!$A$1:$K$36</definedName>
    <definedName function="false" hidden="true" localSheetId="5" name="_xlnm._FilterDatabase" vbProcedure="false">'Service &amp; API Gap'!$A$1:$J$34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<sst xmlns="http://schemas.openxmlformats.org/spreadsheetml/2006/main" count="4103" uniqueCount="1749">
  <si>
    <t xml:space="preserve">WITYLOGIX — STARTUP ENGINEERING TEAM</t>
  </si>
  <si>
    <t xml:space="preserve">9-person team organized into 5 squads — working in parallel across 6 phases</t>
  </si>
  <si>
    <t xml:space="preserve">ID</t>
  </si>
  <si>
    <t xml:space="preserve">Name</t>
  </si>
  <si>
    <t xml:space="preserve">Role</t>
  </si>
  <si>
    <t xml:space="preserve">Squad</t>
  </si>
  <si>
    <t xml:space="preserve">Focus Areas</t>
  </si>
  <si>
    <t xml:space="preserve">Parallel Tracks</t>
  </si>
  <si>
    <t xml:space="preserve">Models</t>
  </si>
  <si>
    <t xml:space="preserve">Pages</t>
  </si>
  <si>
    <t xml:space="preserve">Services</t>
  </si>
  <si>
    <t xml:space="preserve">Infra</t>
  </si>
  <si>
    <t xml:space="preserve">Roadmap</t>
  </si>
  <si>
    <t xml:space="preserve">Total Items</t>
  </si>
  <si>
    <t xml:space="preserve">AR</t>
  </si>
  <si>
    <t xml:space="preserve">Arjun Rajput</t>
  </si>
  <si>
    <t xml:space="preserve">CTO / Tech Lead</t>
  </si>
  <si>
    <t xml:space="preserve">Architecture</t>
  </si>
  <si>
    <t xml:space="preserve">System design, API architecture, DB schema, auth, infra decisions</t>
  </si>
  <si>
    <t xml:space="preserve">Auth system, RBAC, schema design, code reviews</t>
  </si>
  <si>
    <t xml:space="preserve">PK</t>
  </si>
  <si>
    <t xml:space="preserve">Priya Kapoor</t>
  </si>
  <si>
    <t xml:space="preserve">Sr. Backend Engineer</t>
  </si>
  <si>
    <t xml:space="preserve">Core Backend</t>
  </si>
  <si>
    <t xml:space="preserve">Order/shipment lifecycle, business logic, Shopify sync, webhooks</t>
  </si>
  <si>
    <t xml:space="preserve">Order CRUD, shipment model, webhook processors, Shopify sync engine</t>
  </si>
  <si>
    <t xml:space="preserve">VS</t>
  </si>
  <si>
    <t xml:space="preserve">Vikram Shah</t>
  </si>
  <si>
    <t xml:space="preserve">Backend Engineer</t>
  </si>
  <si>
    <t xml:space="preserve">Route optimization, geospatial, carrier service, location mgmt</t>
  </si>
  <si>
    <t xml:space="preserve">PostGIS, route optimization, shipping profiles, delivery rules, carrier rates</t>
  </si>
  <si>
    <t xml:space="preserve">NK</t>
  </si>
  <si>
    <t xml:space="preserve">Neha Krishnan</t>
  </si>
  <si>
    <t xml:space="preserve">Sr. Frontend Engineer</t>
  </si>
  <si>
    <t xml:space="preserve">Frontend</t>
  </si>
  <si>
    <t xml:space="preserve">Dashboard UI, design system, pages, components, UX</t>
  </si>
  <si>
    <t xml:space="preserve">Design system, dashboard pages, settings, analytics, onboarding</t>
  </si>
  <si>
    <t xml:space="preserve">DM</t>
  </si>
  <si>
    <t xml:space="preserve">Dev Malhotra</t>
  </si>
  <si>
    <t xml:space="preserve">Frontend Engineer</t>
  </si>
  <si>
    <t xml:space="preserve">Order/shipment/route pages, map integrations, forms</t>
  </si>
  <si>
    <t xml:space="preserve">Order pages, shipment pages, route create/edit, zone map drawing, forms</t>
  </si>
  <si>
    <t xml:space="preserve">SP</t>
  </si>
  <si>
    <t xml:space="preserve">Sanya Patel</t>
  </si>
  <si>
    <t xml:space="preserve">Full-Stack Engineer</t>
  </si>
  <si>
    <t xml:space="preserve">Integrations</t>
  </si>
  <si>
    <t xml:space="preserve">Notification providers, email/SMS/WhatsApp, Firebase push, templates</t>
  </si>
  <si>
    <t xml:space="preserve">SendGrid, Twilio, WhatsApp, FCM, notification templates, campaign system</t>
  </si>
  <si>
    <t xml:space="preserve">RG</t>
  </si>
  <si>
    <t xml:space="preserve">Rohan Gupta</t>
  </si>
  <si>
    <t xml:space="preserve">Payment gateways, billing, analytics, 3rd-party APIs, super admin</t>
  </si>
  <si>
    <t xml:space="preserve">Payment module, billing/plans, analytics engine, cart plugin, POS</t>
  </si>
  <si>
    <t xml:space="preserve">AM</t>
  </si>
  <si>
    <t xml:space="preserve">Aisha Mehra</t>
  </si>
  <si>
    <t xml:space="preserve">DevOps / Infra Engineer</t>
  </si>
  <si>
    <t xml:space="preserve">Platform</t>
  </si>
  <si>
    <t xml:space="preserve">Docker, CI/CD, Redis, BullMQ, PostGIS, monitoring, deployment</t>
  </si>
  <si>
    <t xml:space="preserve">Queue infrastructure, Redis caching, PostGIS setup, Docker, CI/CD, logging</t>
  </si>
  <si>
    <t xml:space="preserve">KS</t>
  </si>
  <si>
    <t xml:space="preserve">Kabir Singh</t>
  </si>
  <si>
    <t xml:space="preserve">QA / Test Engineer</t>
  </si>
  <si>
    <t xml:space="preserve">Quality</t>
  </si>
  <si>
    <t xml:space="preserve">Test strategy, E2E tests, API tests, regression, data migration QA</t>
  </si>
  <si>
    <t xml:space="preserve">Test framework setup, API test suites, E2E scenarios, migration validation</t>
  </si>
  <si>
    <t xml:space="preserve">TOTAL</t>
  </si>
  <si>
    <t xml:space="preserve">Squad Structure</t>
  </si>
  <si>
    <t xml:space="preserve">Members</t>
  </si>
  <si>
    <t xml:space="preserve">Primary Responsibility</t>
  </si>
  <si>
    <t xml:space="preserve">Phase Focus</t>
  </si>
  <si>
    <t xml:space="preserve">AR (Arjun)</t>
  </si>
  <si>
    <t xml:space="preserve">System design, auth, schema, cross-cutting concerns, code reviews</t>
  </si>
  <si>
    <t xml:space="preserve">Phase 1 lead, oversight all phases</t>
  </si>
  <si>
    <t xml:space="preserve">PK (Priya), VS (Vikram)</t>
  </si>
  <si>
    <t xml:space="preserve">Order lifecycle, shipments, routes, shipping profiles, Shopify sync</t>
  </si>
  <si>
    <t xml:space="preserve">Phase 1-2 primary, Phase 4 support</t>
  </si>
  <si>
    <t xml:space="preserve">NK (Neha), DM (Dev)</t>
  </si>
  <si>
    <t xml:space="preserve">Dashboard UI, all pages, design system, map integrations, UX</t>
  </si>
  <si>
    <t xml:space="preserve">Phase 1-2 primary (parallel with backend)</t>
  </si>
  <si>
    <t xml:space="preserve">SP (Sanya), RG (Rohan)</t>
  </si>
  <si>
    <t xml:space="preserve">Notifications, payments, billing, analytics, 3rd-party APIs</t>
  </si>
  <si>
    <t xml:space="preserve">Phase 3-4 primary, Phase 5-6</t>
  </si>
  <si>
    <t xml:space="preserve">AM (Aisha)</t>
  </si>
  <si>
    <t xml:space="preserve">Infrastructure, DevOps, queues, caching, monitoring, deployment</t>
  </si>
  <si>
    <t xml:space="preserve">Phase 1 setup, continuous throughout</t>
  </si>
  <si>
    <t xml:space="preserve">KS (Kabir)</t>
  </si>
  <si>
    <t xml:space="preserve">Test strategy, automation, E2E, API tests, migration validation</t>
  </si>
  <si>
    <t xml:space="preserve">Continuous from Phase 2 onwards</t>
  </si>
  <si>
    <t xml:space="preserve">WITYLOGIX PLATFORM — GAP ANALYSIS</t>
  </si>
  <si>
    <t xml:space="preserve">Old Backend (lmd-oms-v3 + lmd-oms-nextjs-v3) → New Platform (witylogix-platform)</t>
  </si>
  <si>
    <t xml:space="preserve">Last Updated: Sprint 3.0 (2026-03-08)</t>
  </si>
  <si>
    <t xml:space="preserve">Old System</t>
  </si>
  <si>
    <t xml:space="preserve">New Platform</t>
  </si>
  <si>
    <t xml:space="preserve">Gap</t>
  </si>
  <si>
    <t xml:space="preserve">Total Files: 555 source files | 168,753 lines of code</t>
  </si>
  <si>
    <t xml:space="preserve">38+</t>
  </si>
  <si>
    <t xml:space="preserve">26 (Prisma)</t>
  </si>
  <si>
    <t xml:space="preserve">Consolidated into fewer, richer models</t>
  </si>
  <si>
    <t xml:space="preserve">Sprints Completed: 1.1, 1.2, 2.0, 2.1, 2.2, 2.3, 2.4, 2.5</t>
  </si>
  <si>
    <t xml:space="preserve">68</t>
  </si>
  <si>
    <t xml:space="preserve">50</t>
  </si>
  <si>
    <t xml:space="preserve">Many features still need pages</t>
  </si>
  <si>
    <t xml:space="preserve">API Routes</t>
  </si>
  <si>
    <t xml:space="preserve">85+ (Express)</t>
  </si>
  <si>
    <t xml:space="preserve">42 (Fastify)</t>
  </si>
  <si>
    <t xml:space="preserve">Many endpoints still needed</t>
  </si>
  <si>
    <t xml:space="preserve">Services/Controllers</t>
  </si>
  <si>
    <t xml:space="preserve">140+ / 80+</t>
  </si>
  <si>
    <t xml:space="preserve">7+ queue consumers</t>
  </si>
  <si>
    <t xml:space="preserve">Core business logic to rebuild</t>
  </si>
  <si>
    <t xml:space="preserve">Microservices (PM2)</t>
  </si>
  <si>
    <t xml:space="preserve">12</t>
  </si>
  <si>
    <t xml:space="preserve">1 monolith + workers</t>
  </si>
  <si>
    <t xml:space="preserve">Queue workers needed</t>
  </si>
  <si>
    <t xml:space="preserve">Notification Channels</t>
  </si>
  <si>
    <t xml:space="preserve">Email, SMS, WhatsApp, Push, Slack</t>
  </si>
  <si>
    <t xml:space="preserve">Schema only</t>
  </si>
  <si>
    <t xml:space="preserve">All providers to integrate</t>
  </si>
  <si>
    <t xml:space="preserve">Payment Systems</t>
  </si>
  <si>
    <t xml:space="preserve">COD, Custom Gateways, Shopify Txn</t>
  </si>
  <si>
    <t xml:space="preserve">COD + gateway abstractions</t>
  </si>
  <si>
    <t xml:space="preserve">Stripe/Razorpay implementation needed</t>
  </si>
  <si>
    <t xml:space="preserve">Map Providers</t>
  </si>
  <si>
    <t xml:space="preserve">Google Maps + Mapbox</t>
  </si>
  <si>
    <t xml:space="preserve">Haversine + PostGIS spatial module</t>
  </si>
  <si>
    <t xml:space="preserve">PostGIS extension enable needed</t>
  </si>
  <si>
    <t xml:space="preserve">Webhook Processors</t>
  </si>
  <si>
    <t xml:space="preserve">5 dedicated servers</t>
  </si>
  <si>
    <t xml:space="preserve">4 webhook consumers</t>
  </si>
  <si>
    <t xml:space="preserve">Additional webhook types needed</t>
  </si>
  <si>
    <t xml:space="preserve">Real-time Tracking</t>
  </si>
  <si>
    <t xml:space="preserve">Firebase + WebSocket</t>
  </si>
  <si>
    <t xml:space="preserve">None</t>
  </si>
  <si>
    <t xml:space="preserve">Driver tracking to build</t>
  </si>
  <si>
    <t xml:space="preserve">Campaign/Marketing</t>
  </si>
  <si>
    <t xml:space="preserve">Email templates, Broadcasts</t>
  </si>
  <si>
    <t xml:space="preserve">Campaign module needed</t>
  </si>
  <si>
    <t xml:space="preserve">38 marketplace providers</t>
  </si>
  <si>
    <t xml:space="preserve">Schema + registry</t>
  </si>
  <si>
    <t xml:space="preserve">Provider implementations needed</t>
  </si>
  <si>
    <t xml:space="preserve">Components</t>
  </si>
  <si>
    <t xml:space="preserve">296+</t>
  </si>
  <si>
    <t xml:space="preserve">~12</t>
  </si>
  <si>
    <t xml:space="preserve">Component library to expand</t>
  </si>
  <si>
    <t xml:space="preserve">Priority</t>
  </si>
  <si>
    <t xml:space="preserve">Gap Item</t>
  </si>
  <si>
    <t xml:space="preserve">Description</t>
  </si>
  <si>
    <t xml:space="preserve">Effort</t>
  </si>
  <si>
    <t xml:space="preserve">Competitive Leader</t>
  </si>
  <si>
    <t xml:space="preserve">Sprint Target</t>
  </si>
  <si>
    <t xml:space="preserve">Agent(s)</t>
  </si>
  <si>
    <t xml:space="preserve">Status</t>
  </si>
  <si>
    <t xml:space="preserve">Notes</t>
  </si>
  <si>
    <t xml:space="preserve">G-01</t>
  </si>
  <si>
    <t xml:space="preserve">P0</t>
  </si>
  <si>
    <t xml:space="preserve">Customer Self-Service Portal</t>
  </si>
  <si>
    <t xml:space="preserve">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</si>
  <si>
    <t xml:space="preserve">L</t>
  </si>
  <si>
    <t xml:space="preserve">Route4Me (only one)</t>
  </si>
  <si>
    <t xml:space="preserve">4.5</t>
  </si>
  <si>
    <t xml:space="preserve">PLANNED</t>
  </si>
  <si>
    <t xml:space="preserve">New app: apps/customer-portal/. React + Next.js. Auth via existing session manager.</t>
  </si>
  <si>
    <t xml:space="preserve">G-02</t>
  </si>
  <si>
    <t xml:space="preserve">Checkout Date/Time Picker Widget</t>
  </si>
  <si>
    <t xml:space="preserve">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</si>
  <si>
    <t xml:space="preserve">M</t>
  </si>
  <si>
    <t xml:space="preserve">Pickeasy / ScrollEngine / Zapiet</t>
  </si>
  <si>
    <t xml:space="preserve">NK, VS</t>
  </si>
  <si>
    <t xml:space="preserve">Package: packages/checkout-widget/. Must be embeddable in Shopify, WooCommerce, standalone.</t>
  </si>
  <si>
    <t xml:space="preserve">G-03</t>
  </si>
  <si>
    <t xml:space="preserve">POD Enhancement (Photo + Signature + QR + Timeline)</t>
  </si>
  <si>
    <t xml:space="preserve">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</si>
  <si>
    <t xml:space="preserve">Fleetbase + Routific</t>
  </si>
  <si>
    <t xml:space="preserve">packages/core/src/pod/. Driver app integration. Status timeline component for tracking page.</t>
  </si>
  <si>
    <t xml:space="preserve">G-04</t>
  </si>
  <si>
    <t xml:space="preserve">Route Timeline Dispatcher Dashboard</t>
  </si>
  <si>
    <t xml:space="preserve">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</si>
  <si>
    <t xml:space="preserve">Routific</t>
  </si>
  <si>
    <t xml:space="preserve">apps/dashboard/src/app/(dashboard)/dispatch/. Uses Mapbox/Leaflet + D3 for timeline.</t>
  </si>
  <si>
    <t xml:space="preserve">G-05</t>
  </si>
  <si>
    <t xml:space="preserve">Capacity Management &amp; Zone Pricing</t>
  </si>
  <si>
    <t xml:space="preserve">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</si>
  <si>
    <t xml:space="preserve">S</t>
  </si>
  <si>
    <t xml:space="preserve">Pickeasy / Zapiet</t>
  </si>
  <si>
    <t xml:space="preserve">packages/core/src/slots/. API endpoints: slot availability, rate calculator, capacity check.</t>
  </si>
  <si>
    <t xml:space="preserve">G-06</t>
  </si>
  <si>
    <t xml:space="preserve">P1</t>
  </si>
  <si>
    <t xml:space="preserve">SMS/WhatsApp Customer Notifications</t>
  </si>
  <si>
    <t xml:space="preserve">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</si>
  <si>
    <t xml:space="preserve">Routific / ScrollEngine</t>
  </si>
  <si>
    <t xml:space="preserve">packages/core/src/notifications-v2/. Template engine with variables. Webhook delivery status.</t>
  </si>
  <si>
    <t xml:space="preserve">G-07</t>
  </si>
  <si>
    <t xml:space="preserve">Delivery Status Timeline UI</t>
  </si>
  <si>
    <t xml:space="preserve">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</si>
  <si>
    <t xml:space="preserve">VS, PK</t>
  </si>
  <si>
    <t xml:space="preserve">Shared component in packages/checkout-widget/. Reused across portal, tracking page, dashboard.</t>
  </si>
  <si>
    <t xml:space="preserve">G-08</t>
  </si>
  <si>
    <t xml:space="preserve">WooCommerce Deep Integration</t>
  </si>
  <si>
    <t xml:space="preserve">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</si>
  <si>
    <t xml:space="preserve">Route4Me</t>
  </si>
  <si>
    <t xml:space="preserve">4.6</t>
  </si>
  <si>
    <t xml:space="preserve">packages/core/src/integrations/woocommerce/. REST API v3 adapter. Block-based widget.</t>
  </si>
  <si>
    <t xml:space="preserve">G-09</t>
  </si>
  <si>
    <t xml:space="preserve">Google Maps &amp; Calendar Integration</t>
  </si>
  <si>
    <t xml:space="preserve">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</si>
  <si>
    <t xml:space="preserve">Pickeasy</t>
  </si>
  <si>
    <t xml:space="preserve">AM, NK</t>
  </si>
  <si>
    <t xml:space="preserve">packages/core/src/integrations/google/. Maps JS API + Calendar API.</t>
  </si>
  <si>
    <t xml:space="preserve">G-10</t>
  </si>
  <si>
    <t xml:space="preserve">Planned-vs-Actual Reporting</t>
  </si>
  <si>
    <t xml:space="preserve">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</si>
  <si>
    <t xml:space="preserve">Route4Me / Routific</t>
  </si>
  <si>
    <t xml:space="preserve">AR, ZR</t>
  </si>
  <si>
    <t xml:space="preserve">apps/dashboard/src/app/(dashboard)/analytics/routes/. Chart.js + Mapbox.</t>
  </si>
  <si>
    <t xml:space="preserve">G-11</t>
  </si>
  <si>
    <t xml:space="preserve">P2</t>
  </si>
  <si>
    <t xml:space="preserve">Telematics Gateway (Samsara + Geotab)</t>
  </si>
  <si>
    <t xml:space="preserve">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</si>
  <si>
    <t xml:space="preserve">4.7</t>
  </si>
  <si>
    <t xml:space="preserve">AM, PK</t>
  </si>
  <si>
    <t xml:space="preserve">packages/core/src/telematics/. Adapter pattern. Start with Samsara + Geotab SDKs.</t>
  </si>
  <si>
    <t xml:space="preserve">G-12</t>
  </si>
  <si>
    <t xml:space="preserve">ML-Powered ETA Engine (Traffic-Aware)</t>
  </si>
  <si>
    <t xml:space="preserve">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</si>
  <si>
    <t xml:space="preserve">Routific (179 models)</t>
  </si>
  <si>
    <t xml:space="preserve">ZR</t>
  </si>
  <si>
    <t xml:space="preserve">packages/core/src/ai-eta/. TensorFlow.js or ONNX runtime. Model versioning.</t>
  </si>
  <si>
    <t xml:space="preserve">G-13</t>
  </si>
  <si>
    <t xml:space="preserve">Automated Invoicing Engine</t>
  </si>
  <si>
    <t xml:space="preserve">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</si>
  <si>
    <t xml:space="preserve">4.9</t>
  </si>
  <si>
    <t xml:space="preserve">RG, SP</t>
  </si>
  <si>
    <t xml:space="preserve">packages/core/src/invoicing/. PDF generation. QuickBooks API adapter.</t>
  </si>
  <si>
    <t xml:space="preserve">G-14</t>
  </si>
  <si>
    <t xml:space="preserve">Partner Directory &amp; Courier Ecosystem</t>
  </si>
  <si>
    <t xml:space="preserve">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</si>
  <si>
    <t xml:space="preserve">Zapiet</t>
  </si>
  <si>
    <t xml:space="preserve">4.8</t>
  </si>
  <si>
    <t xml:space="preserve">AM, SP</t>
  </si>
  <si>
    <t xml:space="preserve">packages/core/src/couriers/. Adapter per courier. Partner directory UI.</t>
  </si>
  <si>
    <t xml:space="preserve">G-15</t>
  </si>
  <si>
    <t xml:space="preserve">P3</t>
  </si>
  <si>
    <t xml:space="preserve">AI Demand Prediction &amp; Smart Scheduling</t>
  </si>
  <si>
    <t xml:space="preserve">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</si>
  <si>
    <t xml:space="preserve">Nobody (first-mover)</t>
  </si>
  <si>
    <t xml:space="preserve">5.0+</t>
  </si>
  <si>
    <t xml:space="preserve">packages/core/src/ai-demand/. Time-series forecasting. Integration with slot engine.</t>
  </si>
  <si>
    <t xml:space="preserve">SUMMARY</t>
  </si>
  <si>
    <t xml:space="preserve">15 competitive gaps: 5× P0 (Sprint 4.5), 5× P1 (Sprint 4.5-4.6), 4× P2 (Sprint 4.7-4.9), 1× P3 (Sprint 5.0+). Benchmarked against: Fleetbase, ScrollEngine, Zapiet, Route4Me, Routific, Pickeasy.</t>
  </si>
  <si>
    <t xml:space="preserve">Old Model (MongoDB)</t>
  </si>
  <si>
    <t xml:space="preserve">Collection</t>
  </si>
  <si>
    <t xml:space="preserve">New Model (Prisma)</t>
  </si>
  <si>
    <t xml:space="preserve">Key Fields Missing in New</t>
  </si>
  <si>
    <t xml:space="preserve">Done</t>
  </si>
  <si>
    <t xml:space="preserve">Assignee</t>
  </si>
  <si>
    <t xml:space="preserve">Work Status</t>
  </si>
  <si>
    <t xml:space="preserve">shopifyOrder</t>
  </si>
  <si>
    <t xml:space="preserve">shopify_orders</t>
  </si>
  <si>
    <t xml:space="preserve">Order</t>
  </si>
  <si>
    <t xml:space="preserve">EXISTS</t>
  </si>
  <si>
    <t xml:space="preserve">lineItems detail, billingAddress, shippingAddress, financialStatus, fulfillmentStatus, tags (rich), cancelledAt, refunds, discountCodes, taxLines, shippingLines, noteAttributes, orderRisk, orderSource</t>
  </si>
  <si>
    <t xml:space="preserve">Core model - needs many Shopify-specific fields</t>
  </si>
  <si>
    <t xml:space="preserve">☑</t>
  </si>
  <si>
    <t xml:space="preserve">PK - Priya</t>
  </si>
  <si>
    <t xml:space="preserve">DONE</t>
  </si>
  <si>
    <t xml:space="preserve">shipment</t>
  </si>
  <si>
    <t xml:space="preserve">shipments</t>
  </si>
  <si>
    <t xml:space="preserve">Shipment</t>
  </si>
  <si>
    <t xml:space="preserve">Entire model: tracking_number, carrier, shipping_method, status lifecycle, label_url, customs_info, insurance, return_tracking, package_dimensions, weight, estimated_delivery_date, actual_delivery_date, shipping_cost, recipient_details, documents[], activity_log[]</t>
  </si>
  <si>
    <t xml:space="preserve">Critical gap - old system had full shipment lifecycle separate from orders</t>
  </si>
  <si>
    <t xml:space="preserve">shipmentItem</t>
  </si>
  <si>
    <t xml:space="preserve">shipment_items</t>
  </si>
  <si>
    <t xml:space="preserve">ShipmentProof</t>
  </si>
  <si>
    <t xml:space="preserve">Entire model: shipment_ref, product_id, variant_id, quantity, weight, dimensions, customs_value, hs_code, origin_country</t>
  </si>
  <si>
    <t xml:space="preserve">Sprint 2.7 - 36-shipment-items.prisma</t>
  </si>
  <si>
    <t xml:space="preserve">IN PROGRESS</t>
  </si>
  <si>
    <t xml:space="preserve">user</t>
  </si>
  <si>
    <t xml:space="preserve">users</t>
  </si>
  <si>
    <t xml:space="preserve">User</t>
  </si>
  <si>
    <t xml:space="preserve">phone, avatar, permissions[], timezone, language, lastActiveAt, inviteToken, inviteExpiry, twoFactorEnabled, notificationPreferences</t>
  </si>
  <si>
    <t xml:space="preserve">Old had richer user profiles</t>
  </si>
  <si>
    <t xml:space="preserve">AR - Arjun</t>
  </si>
  <si>
    <t xml:space="preserve">userRole</t>
  </si>
  <si>
    <t xml:space="preserve">user_roles</t>
  </si>
  <si>
    <t xml:space="preserve">User.role (enum)</t>
  </si>
  <si>
    <t xml:space="preserve">Full RBAC model with permissions array, resource-level access, customizable roles</t>
  </si>
  <si>
    <t xml:space="preserve">Old had dynamic roles; new uses fixed enum</t>
  </si>
  <si>
    <t xml:space="preserve">userPermission</t>
  </si>
  <si>
    <t xml:space="preserve">user_permissions</t>
  </si>
  <si>
    <t xml:space="preserve">—</t>
  </si>
  <si>
    <t xml:space="preserve">MISSING</t>
  </si>
  <si>
    <t xml:space="preserve">Entire model: role_ref, resource, action, allow/deny, conditions</t>
  </si>
  <si>
    <t xml:space="preserve">Granular permission system missing</t>
  </si>
  <si>
    <t xml:space="preserve">storeDetail</t>
  </si>
  <si>
    <t xml:space="preserve">store_details</t>
  </si>
  <si>
    <t xml:space="preserve">Shop</t>
  </si>
  <si>
    <t xml:space="preserve">address, country, province, logo, favicon, social_links, business_hours, description, industry, defaultLanguage, supportEmail, returnPolicy, trackingPageConfig, widgetConfig, analyticsConfig</t>
  </si>
  <si>
    <t xml:space="preserve">Shop model is minimal vs old storeDetail</t>
  </si>
  <si>
    <t xml:space="preserve">storeSettings</t>
  </si>
  <si>
    <t xml:space="preserve">store_settings</t>
  </si>
  <si>
    <t xml:space="preserve">Shop.settings (JSON)</t>
  </si>
  <si>
    <t xml:space="preserve">Structured settings: autoAssign, proofOfDelivery, signatureRequired, realTimeTracking, driverAppConfig, customerNotificationDefaults, inventorySync, fulfillmentRules</t>
  </si>
  <si>
    <t xml:space="preserve">Old had explicit fields; new uses opaque JSON</t>
  </si>
  <si>
    <t xml:space="preserve">storeApiSettings</t>
  </si>
  <si>
    <t xml:space="preserve">store_api_settings</t>
  </si>
  <si>
    <t xml:space="preserve">Integration</t>
  </si>
  <si>
    <t xml:space="preserve">Old had dedicated model for API keys per provider (Google, Mapbox, Twilio, SendGrid, etc.)</t>
  </si>
  <si>
    <t xml:space="preserve">Subsumed by Integration model but less explicit</t>
  </si>
  <si>
    <t xml:space="preserve">SP - Sanya</t>
  </si>
  <si>
    <t xml:space="preserve">storeInfo</t>
  </si>
  <si>
    <t xml:space="preserve">store_infos</t>
  </si>
  <si>
    <t xml:space="preserve">Merged into Shop model</t>
  </si>
  <si>
    <t xml:space="preserve">Consolidated correctly</t>
  </si>
  <si>
    <t xml:space="preserve">calenderRule / calenderProfile</t>
  </si>
  <si>
    <t xml:space="preserve">calender_rules / calender_profiles</t>
  </si>
  <si>
    <t xml:space="preserve">Entire models: blackout_dates[], operating_hours{}, preparation_time, cutoff_rules, holiday_calendars, recurring_rules, capacity_by_day, special_event_overrides</t>
  </si>
  <si>
    <t xml:space="preserve">Sprint 2.5: calendar-engine.ts in shipping-profiles module</t>
  </si>
  <si>
    <t xml:space="preserve">VS - Vikram</t>
  </si>
  <si>
    <t xml:space="preserve">deliveryRule / pickupRule / shippingRule</t>
  </si>
  <si>
    <t xml:space="preserve">Various</t>
  </si>
  <si>
    <t xml:space="preserve">Entire rule engines: distance-based, weight-based, zone-based, product-category, minimum-order, time-window, same-day/next-day rules, rate tables, conditional logic</t>
  </si>
  <si>
    <t xml:space="preserve">Sprint 2.4 - DeliveryRule, PickupRule, CalendarProfile models added</t>
  </si>
  <si>
    <t xml:space="preserve">shippingProfile</t>
  </si>
  <si>
    <t xml:space="preserve">shipping_profiles</t>
  </si>
  <si>
    <t xml:space="preserve">ShippingProfile + ShippingRate + ShippingZoneRule + DeliveryCalendar</t>
  </si>
  <si>
    <t xml:space="preserve">Entire model: locations[], rates[], rules[], zones[], delivery_methods[], processing_times, conditions, product_groups</t>
  </si>
  <si>
    <t xml:space="preserve">Sprint 2.5: 31-shipping-profiles-v2.prisma + full core module</t>
  </si>
  <si>
    <t xml:space="preserve">zone</t>
  </si>
  <si>
    <t xml:space="preserve">zones</t>
  </si>
  <si>
    <t xml:space="preserve">DeliveryZone</t>
  </si>
  <si>
    <t xml:space="preserve">boundary polygon (PostGIS), color, description, delivery_methods[], associated_locations[], max_distance, estimated_time_range</t>
  </si>
  <si>
    <t xml:space="preserve">PostGIS boundary is TODO; zone features limited</t>
  </si>
  <si>
    <t xml:space="preserve">location / warehouse</t>
  </si>
  <si>
    <t xml:space="preserve">locations</t>
  </si>
  <si>
    <t xml:space="preserve">Location</t>
  </si>
  <si>
    <t xml:space="preserve">Entire model: name, address, coordinates, type (warehouse/store/hub), inventory[], working_hours, pickup_rules, delivery_rules, associated_zones[], capacity, contact_info</t>
  </si>
  <si>
    <t xml:space="preserve">No location/warehouse model in new schema</t>
  </si>
  <si>
    <t xml:space="preserve">vehicle</t>
  </si>
  <si>
    <t xml:space="preserve">vehicles</t>
  </si>
  <si>
    <t xml:space="preserve">Driver (with vehicle fields)</t>
  </si>
  <si>
    <t xml:space="preserve">Old had separate Vehicle model: make, model, year, color, insurance, registration, capacity_volume, capacity_weight, fuel_type, maintenance_schedule</t>
  </si>
  <si>
    <t xml:space="preserve">New schema has vehicleType/vehiclePlate on Driver only</t>
  </si>
  <si>
    <t xml:space="preserve">notificationTemplate</t>
  </si>
  <si>
    <t xml:space="preserve">notification_templates</t>
  </si>
  <si>
    <t xml:space="preserve">NotificationTemplate</t>
  </si>
  <si>
    <t xml:space="preserve">Entire model: channel, event_type, subject, body_template, variables[], isActive, language, version</t>
  </si>
  <si>
    <t xml:space="preserve">Notification template system missing</t>
  </si>
  <si>
    <t xml:space="preserve">notificationConfig</t>
  </si>
  <si>
    <t xml:space="preserve">notification_configs</t>
  </si>
  <si>
    <t xml:space="preserve">NotificationLog</t>
  </si>
  <si>
    <t xml:space="preserve">Per-store notification preferences: enabled_channels{}, event_subscriptions{}, quiet_hours, frequency_limits</t>
  </si>
  <si>
    <t xml:space="preserve">Notification configuration missing</t>
  </si>
  <si>
    <t xml:space="preserve">whatsappTemplate</t>
  </si>
  <si>
    <t xml:space="preserve">whatsapp_templates</t>
  </si>
  <si>
    <t xml:space="preserve">Entire model: template_id, name, language, category, components[], status, provider_template_id</t>
  </si>
  <si>
    <t xml:space="preserve">WhatsApp Business template management</t>
  </si>
  <si>
    <t xml:space="preserve">campaign</t>
  </si>
  <si>
    <t xml:space="preserve">campaigns</t>
  </si>
  <si>
    <t xml:space="preserve">Entire model: name, type, audience_filter, template_ref, schedule, status, sent_count, open_rate, click_rate</t>
  </si>
  <si>
    <t xml:space="preserve">Campaign/marketing module missing</t>
  </si>
  <si>
    <t xml:space="preserve">broadcastGroup</t>
  </si>
  <si>
    <t xml:space="preserve">broadcast_groups</t>
  </si>
  <si>
    <t xml:space="preserve">Entire model: name, type, member_filter, members[], metadata</t>
  </si>
  <si>
    <t xml:space="preserve">Broadcast targeting missing</t>
  </si>
  <si>
    <t xml:space="preserve">emailTemplate</t>
  </si>
  <si>
    <t xml:space="preserve">email_templates</t>
  </si>
  <si>
    <t xml:space="preserve">Entire model: name, subject, html_body, design_json (Unlayer), category, variables[]</t>
  </si>
  <si>
    <t xml:space="preserve">Email template editor/storage missing</t>
  </si>
  <si>
    <t xml:space="preserve">paymentGateway</t>
  </si>
  <si>
    <t xml:space="preserve">payment_gateways</t>
  </si>
  <si>
    <t xml:space="preserve">PaymentMethod + PaymentTransaction + IdempotencyKey</t>
  </si>
  <si>
    <t xml:space="preserve">Entire model: provider, config, supported_methods[], fees, enabled, test_mode</t>
  </si>
  <si>
    <t xml:space="preserve">Sprint 2.5: 30-payments.prisma + payment processor</t>
  </si>
  <si>
    <t xml:space="preserve">RG - Rohan</t>
  </si>
  <si>
    <t xml:space="preserve">codGateway</t>
  </si>
  <si>
    <t xml:space="preserve">cod_gateways</t>
  </si>
  <si>
    <t xml:space="preserve">CODCollection (in 30-payments.prisma)</t>
  </si>
  <si>
    <t xml:space="preserve">Entire model: enabled, verification_required, max_amount, collection_rules, reconciliation</t>
  </si>
  <si>
    <t xml:space="preserve">Sprint 2.5: CODGateway class in payments module</t>
  </si>
  <si>
    <t xml:space="preserve">paymentTransaction</t>
  </si>
  <si>
    <t xml:space="preserve">payment_transactions</t>
  </si>
  <si>
    <t xml:space="preserve">PaymentTransaction</t>
  </si>
  <si>
    <t xml:space="preserve">Entire model: order_ref, shipment_ref, amount, currency, method, status, provider_txn_id, refund_id, metadata</t>
  </si>
  <si>
    <t xml:space="preserve">No transaction tracking</t>
  </si>
  <si>
    <t xml:space="preserve">product</t>
  </si>
  <si>
    <t xml:space="preserve">products</t>
  </si>
  <si>
    <t xml:space="preserve">Product</t>
  </si>
  <si>
    <t xml:space="preserve">Entire model: shopify_product_id, title, variants[], images[], tags[], product_type, vendor, weight, dimensions, inventory_quantity, metafields</t>
  </si>
  <si>
    <t xml:space="preserve">No product catalog in new schema</t>
  </si>
  <si>
    <t xml:space="preserve">customer</t>
  </si>
  <si>
    <t xml:space="preserve">customers</t>
  </si>
  <si>
    <t xml:space="preserve">Customer</t>
  </si>
  <si>
    <t xml:space="preserve">Entire model: shopify_customer_id, name, email, phone, addresses[], orders_count, total_spent, tags[], notes, marketing_consent</t>
  </si>
  <si>
    <t xml:space="preserve">No customer model in new schema</t>
  </si>
  <si>
    <t xml:space="preserve">collection</t>
  </si>
  <si>
    <t xml:space="preserve">collections</t>
  </si>
  <si>
    <t xml:space="preserve">Entire model: shopify_collection_id, title, products[], type, sort_order, image</t>
  </si>
  <si>
    <t xml:space="preserve">Sprint 2.7</t>
  </si>
  <si>
    <t xml:space="preserve">NOT STARTED</t>
  </si>
  <si>
    <t xml:space="preserve">inventoryItem</t>
  </si>
  <si>
    <t xml:space="preserve">inventory_items</t>
  </si>
  <si>
    <t xml:space="preserve">Entire model: product_ref, location_ref, quantity, reserved, available, reorder_point, last_sync</t>
  </si>
  <si>
    <t xml:space="preserve">Sprint 2.4 - InventoryItem, InventoryMovement, Collection models</t>
  </si>
  <si>
    <t xml:space="preserve">proofOfDelivery</t>
  </si>
  <si>
    <t xml:space="preserve">Various (in old)</t>
  </si>
  <si>
    <t xml:space="preserve">ProofOfDelivery</t>
  </si>
  <si>
    <t xml:space="preserve">Model exists in new schema</t>
  </si>
  <si>
    <t xml:space="preserve">activityLog / history</t>
  </si>
  <si>
    <t xml:space="preserve">histories</t>
  </si>
  <si>
    <t xml:space="preserve">ActivityLog</t>
  </si>
  <si>
    <t xml:space="preserve">Entire model: entity_type, entity_id, action, actor, changes{}, timestamp, ip_address</t>
  </si>
  <si>
    <t xml:space="preserve">No audit trail / activity log model</t>
  </si>
  <si>
    <t xml:space="preserve">tableFilter</t>
  </si>
  <si>
    <t xml:space="preserve">table_filters</t>
  </si>
  <si>
    <t xml:space="preserve">Entire model: user_ref, table_name, filters[], sort_config, column_visibility, is_default</t>
  </si>
  <si>
    <t xml:space="preserve">NK - Neha</t>
  </si>
  <si>
    <t xml:space="preserve">customMetafield</t>
  </si>
  <si>
    <t xml:space="preserve">custom_metafields</t>
  </si>
  <si>
    <t xml:space="preserve">Entire model: entity_type, entity_id, namespace, key, value, type</t>
  </si>
  <si>
    <t xml:space="preserve">Sprint 2.4 - Metafield + MetafieldDefinition models</t>
  </si>
  <si>
    <t xml:space="preserve">widget</t>
  </si>
  <si>
    <t xml:space="preserve">widgets</t>
  </si>
  <si>
    <t xml:space="preserve">Entire model: type, config, position, styling, isActive, target_pages[]</t>
  </si>
  <si>
    <t xml:space="preserve">supportTicket</t>
  </si>
  <si>
    <t xml:space="preserve">support_tickets</t>
  </si>
  <si>
    <t xml:space="preserve">Entire model: subject, description, status, priority, category, assignee, messages[], attachments[]</t>
  </si>
  <si>
    <t xml:space="preserve">featureRequest</t>
  </si>
  <si>
    <t xml:space="preserve">feature_requests</t>
  </si>
  <si>
    <t xml:space="preserve">Entire model: title, description, status, votes, category</t>
  </si>
  <si>
    <t xml:space="preserve">storeQuota</t>
  </si>
  <si>
    <t xml:space="preserve">store_quotas</t>
  </si>
  <si>
    <t xml:space="preserve">Shop.planTier + billing/index.ts</t>
  </si>
  <si>
    <t xml:space="preserve">Entire model: plan_ref, orders_limit, shipments_limit, api_calls_limit, storage_limit, current_usage{}</t>
  </si>
  <si>
    <t xml:space="preserve">billingPlan</t>
  </si>
  <si>
    <t xml:space="preserve">billing_plans</t>
  </si>
  <si>
    <t xml:space="preserve">PLANS constant (billing module)</t>
  </si>
  <si>
    <t xml:space="preserve">Entire model: name, price, interval, features[], limits{}, trial_days, is_active</t>
  </si>
  <si>
    <t xml:space="preserve">billingSubscription</t>
  </si>
  <si>
    <t xml:space="preserve">billing_subscriptions</t>
  </si>
  <si>
    <t xml:space="preserve">Shop.planTier + billing routes</t>
  </si>
  <si>
    <t xml:space="preserve">Entire model: shop_ref, plan_ref, status, current_period_start, current_period_end, cancelled_at, shopify_charge_id</t>
  </si>
  <si>
    <t xml:space="preserve">SPRINT 2.8 PLANNED</t>
  </si>
  <si>
    <t xml:space="preserve">authProvider</t>
  </si>
  <si>
    <t xml:space="preserve">auth_providers</t>
  </si>
  <si>
    <t xml:space="preserve">AuthProvider</t>
  </si>
  <si>
    <t xml:space="preserve">provider, type (auth0/clerk/cognito/firebase), config, enabled, tenant_scope</t>
  </si>
  <si>
    <t xml:space="preserve">Sprint 2.8 - Auth provider registry</t>
  </si>
  <si>
    <t xml:space="preserve">☐</t>
  </si>
  <si>
    <t xml:space="preserve">authSession</t>
  </si>
  <si>
    <t xml:space="preserve">auth_sessions</t>
  </si>
  <si>
    <t xml:space="preserve">AuthSession</t>
  </si>
  <si>
    <t xml:space="preserve">userId, provider, externalId, accessToken, refreshToken, expiresAt, metadata</t>
  </si>
  <si>
    <t xml:space="preserve">Sprint 2.8 - External auth sessions</t>
  </si>
  <si>
    <t xml:space="preserve">platformAdmin</t>
  </si>
  <si>
    <t xml:space="preserve">platform_admins</t>
  </si>
  <si>
    <t xml:space="preserve">PlatformAdmin</t>
  </si>
  <si>
    <t xml:space="preserve">email, role (super/admin/support), permissions, lastLogin, mfaEnabled</t>
  </si>
  <si>
    <t xml:space="preserve">Sprint 2.8 - Platform admin panel</t>
  </si>
  <si>
    <t xml:space="preserve">posConfig</t>
  </si>
  <si>
    <t xml:space="preserve">pos_configs</t>
  </si>
  <si>
    <t xml:space="preserve">POSConfig</t>
  </si>
  <si>
    <t xml:space="preserve">shopId, formSchema, checkoutRules, shippingProfileRef</t>
  </si>
  <si>
    <t xml:space="preserve">Sprint 2.8 - POS integration</t>
  </si>
  <si>
    <t xml:space="preserve">Feature Area</t>
  </si>
  <si>
    <t xml:space="preserve">Old Frontend Page(s)</t>
  </si>
  <si>
    <t xml:space="preserve">New Dashboard Page</t>
  </si>
  <si>
    <t xml:space="preserve">Missing Capabilities</t>
  </si>
  <si>
    <t xml:space="preserve">Dashboard / Home</t>
  </si>
  <si>
    <t xml:space="preserve">home/index.js + fullAnalytics</t>
  </si>
  <si>
    <t xml:space="preserve">/</t>
  </si>
  <si>
    <t xml:space="preserve">Real-time sync status, data syncing banner, video tutorials, Polaris Viz charts, feature timeline</t>
  </si>
  <si>
    <t xml:space="preserve">Orders List</t>
  </si>
  <si>
    <t xml:space="preserve">orders/index.js</t>
  </si>
  <si>
    <t xml:space="preserve">/orders + /orders/create + /orders/[id] + /orders/bulk + /orders/import</t>
  </si>
  <si>
    <t xml:space="preserve">Map view (Leaflet), CSV import modal, bulk actions, advanced filter presets, saved views</t>
  </si>
  <si>
    <t xml:space="preserve">DM - Dev</t>
  </si>
  <si>
    <t xml:space="preserve">Order Creation</t>
  </si>
  <si>
    <t xml:space="preserve">create-order/index.js</t>
  </si>
  <si>
    <t xml:space="preserve">/orders/create</t>
  </si>
  <si>
    <t xml:space="preserve">Manual order creation form: customer details, line items, address, time slot, payment method, notes</t>
  </si>
  <si>
    <t xml:space="preserve">Order Details</t>
  </si>
  <si>
    <t xml:space="preserve">order-details/[...slug].js</t>
  </si>
  <si>
    <t xml:space="preserve">/orders/[id]</t>
  </si>
  <si>
    <t xml:space="preserve">Full page view, shipment-in-order view, price breakdown, order tags editor, fulfillment actions, refund actions</t>
  </si>
  <si>
    <t xml:space="preserve">Shipments List</t>
  </si>
  <si>
    <t xml:space="preserve">shipments/index.js + local-delivery/shipments + store-pickup/shipments + standard-delivery/shipments</t>
  </si>
  <si>
    <t xml:space="preserve">/shipments</t>
  </si>
  <si>
    <t xml:space="preserve">Entire shipment management: list, filters, map view, status tracking, bulk operations, multi-delivery-method views</t>
  </si>
  <si>
    <t xml:space="preserve">Shipment Details</t>
  </si>
  <si>
    <t xml:space="preserve">shipment-details/index.js + variants</t>
  </si>
  <si>
    <t xml:space="preserve">Full shipment detail: items, price breakdown, documents/POD, tracking notes, SMS confirmation, payment transactions, more actions | Sprint 2.4 - Shipment detail page</t>
  </si>
  <si>
    <t xml:space="preserve">Local Delivery Orders</t>
  </si>
  <si>
    <t xml:space="preserve">local-delivery/orders/index.js</t>
  </si>
  <si>
    <t xml:space="preserve">/orders/local</t>
  </si>
  <si>
    <t xml:space="preserve">Delivery-method-specific order views with method-specific filters and actions</t>
  </si>
  <si>
    <t xml:space="preserve">Store Pickup</t>
  </si>
  <si>
    <t xml:space="preserve">store-pickup/* (4 pages)</t>
  </si>
  <si>
    <t xml:space="preserve">Store pickup workflow: orders, shipments, details, ready-for-pickup actions | Sprint 2.4 - Multi-store management</t>
  </si>
  <si>
    <t xml:space="preserve">Standard Delivery</t>
  </si>
  <si>
    <t xml:space="preserve">standard-delivery/* (4 pages)</t>
  </si>
  <si>
    <t xml:space="preserve">Standard shipping workflow: orders, shipments, details, carrier assignment</t>
  </si>
  <si>
    <t xml:space="preserve">Routes List</t>
  </si>
  <si>
    <t xml:space="preserve">local-delivery/routes/index.js + routes/index.js</t>
  </si>
  <si>
    <t xml:space="preserve">/routes + /routes/create + /routes/[id] + /routes/[id]/edit</t>
  </si>
  <si>
    <t xml:space="preserve">Route table pagination, search, timeline view, shipping label printing (4x6), CSV export, route claiming</t>
  </si>
  <si>
    <t xml:space="preserve">Route Create</t>
  </si>
  <si>
    <t xml:space="preserve">routes/create/index.js</t>
  </si>
  <si>
    <t xml:space="preserve">/routes/create</t>
  </si>
  <si>
    <t xml:space="preserve">Route creation wizard: select shipments, assign driver, set start/end location, drag-and-drop ordering, map preview</t>
  </si>
  <si>
    <t xml:space="preserve">Route Edit</t>
  </si>
  <si>
    <t xml:space="preserve">routes/edit/index.js</t>
  </si>
  <si>
    <t xml:space="preserve">/routes/[id]/edit</t>
  </si>
  <si>
    <t xml:space="preserve">Route editing: reorder stops, add/remove shipments, re-optimize, map directions view</t>
  </si>
  <si>
    <t xml:space="preserve">Add to Route</t>
  </si>
  <si>
    <t xml:space="preserve">routes/add-to-route/index.js</t>
  </si>
  <si>
    <t xml:space="preserve">/routes/[id]/assign</t>
  </si>
  <si>
    <t xml:space="preserve">Shipment-to-route assignment flow</t>
  </si>
  <si>
    <t xml:space="preserve">Drivers</t>
  </si>
  <si>
    <t xml:space="preserve">— (managed via users)</t>
  </si>
  <si>
    <t xml:space="preserve">/drivers</t>
  </si>
  <si>
    <t xml:space="preserve">Driver detail view, assignment history, performance stats, document uploads, FCM token management</t>
  </si>
  <si>
    <t xml:space="preserve">Delivery Zones</t>
  </si>
  <si>
    <t xml:space="preserve">zones/index.js + zones/create</t>
  </si>
  <si>
    <t xml:space="preserve">/zones</t>
  </si>
  <si>
    <t xml:space="preserve">Zone map drawing (Leaflet Draw), polygon boundary editing, zone-to-location association</t>
  </si>
  <si>
    <t xml:space="preserve">Time Slots</t>
  </si>
  <si>
    <t xml:space="preserve">— (part of shipping profile)</t>
  </si>
  <si>
    <t xml:space="preserve">/time-slots</t>
  </si>
  <si>
    <t xml:space="preserve">Capacity usage tracking, zone-specific slots, calendar visualization, cutoff time rules</t>
  </si>
  <si>
    <t xml:space="preserve">Locations</t>
  </si>
  <si>
    <t xml:space="preserve">locations/index.js + create + edit</t>
  </si>
  <si>
    <t xml:space="preserve">/locations</t>
  </si>
  <si>
    <t xml:space="preserve">Full location management: create/edit/list, working hours, pickup rules, delivery rules, map pin, zone association</t>
  </si>
  <si>
    <t xml:space="preserve">Shipping Profile</t>
  </si>
  <si>
    <t xml:space="preserve">shipping-profile/index.js + general-profile + edit</t>
  </si>
  <si>
    <t xml:space="preserve">/shipping-profiles + /shipping-profiles/[id]</t>
  </si>
  <si>
    <t xml:space="preserve">Shipping profile system: rate configuration, location attachment, calendar profiles, delivery method rules</t>
  </si>
  <si>
    <t xml:space="preserve">Settings</t>
  </si>
  <si>
    <t xml:space="preserve">settings/index.js (8+ tabs)</t>
  </si>
  <si>
    <t xml:space="preserve">/settings (hub + 6 sub-pages)</t>
  </si>
  <si>
    <t xml:space="preserve">Missing tabs: Inventory, Shopify sync, Webhook config, API keys, POS config, Mobile app config</t>
  </si>
  <si>
    <t xml:space="preserve">Notifications Config</t>
  </si>
  <si>
    <t xml:space="preserve">notifications/index.js</t>
  </si>
  <si>
    <t xml:space="preserve">/settings/notifications-config</t>
  </si>
  <si>
    <t xml:space="preserve">Missing: Email template editor (Unlayer), WhatsApp template management, SMS provider config, per-event configuration</t>
  </si>
  <si>
    <t xml:space="preserve">— (keys-configuration)</t>
  </si>
  <si>
    <t xml:space="preserve">/integrations</t>
  </si>
  <si>
    <t xml:space="preserve">Missing: Provider credential forms, OAuth flows, health monitoring, usage metering display</t>
  </si>
  <si>
    <t xml:space="preserve">Analytics</t>
  </si>
  <si>
    <t xml:space="preserve">home/fullAnalytics.js</t>
  </si>
  <si>
    <t xml:space="preserve">/analytics</t>
  </si>
  <si>
    <t xml:space="preserve">Missing: Date range picker, order/shipment/inventory breakdown, sync status, Polaris Viz charts, export to CSV</t>
  </si>
  <si>
    <t xml:space="preserve">User Management</t>
  </si>
  <si>
    <t xml:space="preserve">users/index.js</t>
  </si>
  <si>
    <t xml:space="preserve">/settings/team</t>
  </si>
  <si>
    <t xml:space="preserve">Missing: Invite flow, role assignment, permission matrix, activity log per user</t>
  </si>
  <si>
    <t xml:space="preserve">Profile</t>
  </si>
  <si>
    <t xml:space="preserve">profile/index.js</t>
  </si>
  <si>
    <t xml:space="preserve">/profile</t>
  </si>
  <si>
    <t xml:space="preserve">User profile: avatar, personal info, password change, notification preferences, timezone, language</t>
  </si>
  <si>
    <t xml:space="preserve">Login / Auth</t>
  </si>
  <si>
    <t xml:space="preserve">login.js + join.js + reset-password.js</t>
  </si>
  <si>
    <t xml:space="preserve">/(auth)/login + register + forgot-password</t>
  </si>
  <si>
    <t xml:space="preserve">Authentication pages: login, registration, password reset, email verification</t>
  </si>
  <si>
    <t xml:space="preserve">Onboarding</t>
  </si>
  <si>
    <t xml:space="preserve">onboarding/* (5 pages)</t>
  </si>
  <si>
    <t xml:space="preserve">/onboarding</t>
  </si>
  <si>
    <t xml:space="preserve">Multi-step onboarding: cart plugin setup, shipping location, plan selection, fleet info, working hours</t>
  </si>
  <si>
    <t xml:space="preserve">Plans / Billing</t>
  </si>
  <si>
    <t xml:space="preserve">plans/index.js</t>
  </si>
  <si>
    <t xml:space="preserve">/settings/billing</t>
  </si>
  <si>
    <t xml:space="preserve">Plan display, upgrade/downgrade flow, usage meters, invoice history</t>
  </si>
  <si>
    <t xml:space="preserve">Payment Transactions</t>
  </si>
  <si>
    <t xml:space="preserve">payment-transactions/index.js</t>
  </si>
  <si>
    <t xml:space="preserve">/payments</t>
  </si>
  <si>
    <t xml:space="preserve">Transaction history, COD reconciliation, refund tracking</t>
  </si>
  <si>
    <t xml:space="preserve">Tracking Config</t>
  </si>
  <si>
    <t xml:space="preserve">tracking/index.js</t>
  </si>
  <si>
    <t xml:space="preserve">Customer tracking page builder: branding, layout, status messages | Sprint 2.4 - Tracking page config</t>
  </si>
  <si>
    <t xml:space="preserve">Mobile App Config</t>
  </si>
  <si>
    <t xml:space="preserve">mobile-apps/index.js</t>
  </si>
  <si>
    <t xml:space="preserve">Driver app settings: branding, feature toggles, notification config</t>
  </si>
  <si>
    <t xml:space="preserve">Theme / Widget Config</t>
  </si>
  <si>
    <t xml:space="preserve">theme-configuration/index.js</t>
  </si>
  <si>
    <t xml:space="preserve">Checkout widget customizer: colors, layout, display rules | Sprint 2.4 - Widget/theme config</t>
  </si>
  <si>
    <t xml:space="preserve">Stores Management</t>
  </si>
  <si>
    <t xml:space="preserve">stores/index.js</t>
  </si>
  <si>
    <t xml:space="preserve">Multi-store management for org-level users | Sprint 2.4 - Multi-store management</t>
  </si>
  <si>
    <t xml:space="preserve">Support</t>
  </si>
  <si>
    <t xml:space="preserve">support.js + meet/index.js</t>
  </si>
  <si>
    <t xml:space="preserve">In-app support: ticket creation, Cal.com scheduling, help articles | Sprint 2.4 - Help center</t>
  </si>
  <si>
    <t xml:space="preserve">Customers</t>
  </si>
  <si>
    <t xml:space="preserve">— (none)</t>
  </si>
  <si>
    <t xml:space="preserve">/customers</t>
  </si>
  <si>
    <t xml:space="preserve">Full customer management</t>
  </si>
  <si>
    <t xml:space="preserve">Products</t>
  </si>
  <si>
    <t xml:space="preserve">/products</t>
  </si>
  <si>
    <t xml:space="preserve">Product catalog + sync</t>
  </si>
  <si>
    <t xml:space="preserve">Calendar</t>
  </si>
  <si>
    <t xml:space="preserve">/calendar</t>
  </si>
  <si>
    <t xml:space="preserve">Delivery calendar view</t>
  </si>
  <si>
    <t xml:space="preserve">Activity Log</t>
  </si>
  <si>
    <t xml:space="preserve">/activity</t>
  </si>
  <si>
    <t xml:space="preserve">Audit trail viewer</t>
  </si>
  <si>
    <t xml:space="preserve">Shipping Profiles</t>
  </si>
  <si>
    <t xml:space="preserve">/shipping-profiles</t>
  </si>
  <si>
    <t xml:space="preserve">Profile management</t>
  </si>
  <si>
    <t xml:space="preserve">Delivery Ops</t>
  </si>
  <si>
    <t xml:space="preserve">Notifications</t>
  </si>
  <si>
    <t xml:space="preserve">/notifications</t>
  </si>
  <si>
    <t xml:space="preserve">Notification center</t>
  </si>
  <si>
    <t xml:space="preserve">Activity Log (Redesign)</t>
  </si>
  <si>
    <t xml:space="preserve">activity log viewer</t>
  </si>
  <si>
    <t xml:space="preserve">Full audit trail with filters, timeline, entity links, export — frontend-design skill</t>
  </si>
  <si>
    <t xml:space="preserve">Settings Hub (Redesign)</t>
  </si>
  <si>
    <t xml:space="preserve">settings/* (8+ tabs)</t>
  </si>
  <si>
    <t xml:space="preserve">/settings/*</t>
  </si>
  <si>
    <t xml:space="preserve">Unified settings with auth providers, branding, API keys, team — frontend-design skill</t>
  </si>
  <si>
    <t xml:space="preserve">Platform Admin Panel</t>
  </si>
  <si>
    <t xml:space="preserve">— (new)</t>
  </si>
  <si>
    <t xml:space="preserve">/admin/*</t>
  </si>
  <si>
    <t xml:space="preserve">User management, customer management, store oversight, metrics, platform config</t>
  </si>
  <si>
    <t xml:space="preserve">standard-delivery/*</t>
  </si>
  <si>
    <t xml:space="preserve">/delivery/standard</t>
  </si>
  <si>
    <t xml:space="preserve">Standard shipping workflow: orders, shipments, carrier assignment</t>
  </si>
  <si>
    <t xml:space="preserve">Auth Provider Config</t>
  </si>
  <si>
    <t xml:space="preserve">/settings/auth-providers</t>
  </si>
  <si>
    <t xml:space="preserve">Auth0/Clerk/Cognito/Firebase provider setup, test connection, SAML/OIDC config</t>
  </si>
  <si>
    <t xml:space="preserve">DESIGN SYSTEM (Sprint 3.0)</t>
  </si>
  <si>
    <t xml:space="preserve">shadcn/ui Component Preview</t>
  </si>
  <si>
    <t xml:space="preserve">Interactive component gallery with dark theme</t>
  </si>
  <si>
    <t xml:space="preserve">Sprint 3.0</t>
  </si>
  <si>
    <t xml:space="preserve">Planned</t>
  </si>
  <si>
    <t xml:space="preserve">Design Tokens Page</t>
  </si>
  <si>
    <t xml:space="preserve">Visual token reference (colors, spacing, typography)</t>
  </si>
  <si>
    <t xml:space="preserve">Webhook Management</t>
  </si>
  <si>
    <t xml:space="preserve">Register, test, and monitor webhook endpoints</t>
  </si>
  <si>
    <t xml:space="preserve">Event Log Viewer</t>
  </si>
  <si>
    <t xml:space="preserve">Browse and filter platform event stream</t>
  </si>
  <si>
    <t xml:space="preserve">Service Domain</t>
  </si>
  <si>
    <t xml:space="preserve">Old Services (lmd-oms-v3)</t>
  </si>
  <si>
    <t xml:space="preserve">New API Routes (Fastify)</t>
  </si>
  <si>
    <t xml:space="preserve">Key Endpoints Missing</t>
  </si>
  <si>
    <t xml:space="preserve">Authentication</t>
  </si>
  <si>
    <t xml:space="preserve">users/userService (JWT + cookie sessions)</t>
  </si>
  <si>
    <t xml:space="preserve">routes/auth.ts</t>
  </si>
  <si>
    <t xml:space="preserve">Google OAuth, password reset flow, email verification, 2FA, refresh token rotation, session management</t>
  </si>
  <si>
    <t xml:space="preserve">Order CRUD</t>
  </si>
  <si>
    <t xml:space="preserve">orders/orderService + orderCountService</t>
  </si>
  <si>
    <t xml:space="preserve">routes/orders.ts</t>
  </si>
  <si>
    <t xml:space="preserve">Manual order creation, order import (CSV), bulk status update, order merge/split, refund initiation, fulfillment creation</t>
  </si>
  <si>
    <t xml:space="preserve">Shipment Lifecycle</t>
  </si>
  <si>
    <t xml:space="preserve">shipment/* (18 service files)</t>
  </si>
  <si>
    <t xml:space="preserve">Entire shipment domain: create from order, status transitions, assign to route, label generation, tracking updates, documents, payment tracking, activity log</t>
  </si>
  <si>
    <t xml:space="preserve">Sprint 2.4 - FileStorage (local + S3)</t>
  </si>
  <si>
    <t xml:space="preserve">Route Optimization</t>
  </si>
  <si>
    <t xml:space="preserve">serviceBus/mapbox + locationService/mapboxService + googleMapService</t>
  </si>
  <si>
    <t xml:space="preserve">packages/core/src/route-optimizer/ (5 files)</t>
  </si>
  <si>
    <t xml:space="preserve">Nearest-neighbor, 2-opt, Clarke-Wright algorithms; ETA calculation; distance matrix</t>
  </si>
  <si>
    <t xml:space="preserve">Route Management</t>
  </si>
  <si>
    <t xml:space="preserve">shipment/shipmentRoutes + shipmentRouteDirection</t>
  </si>
  <si>
    <t xml:space="preserve">routes/routes.ts</t>
  </si>
  <si>
    <t xml:space="preserve">Route CRUD exists but missing: optimization integration, direction rendering, stop reordering, driver notification on assignment, route claiming, label printing</t>
  </si>
  <si>
    <t xml:space="preserve">Location/Warehouse Mgmt</t>
  </si>
  <si>
    <t xml:space="preserve">— (via storeDetail)</t>
  </si>
  <si>
    <t xml:space="preserve">routes/locations-v2.ts (13 endpoints)</t>
  </si>
  <si>
    <t xml:space="preserve">Working hours, capacity, zone associations, nearest location (Haversine)</t>
  </si>
  <si>
    <t xml:space="preserve">profiles/shippingProfile + calenderProfile</t>
  </si>
  <si>
    <t xml:space="preserve">Rate calculation engine, calendar rules, delivery windows, processing times, conditional rules, zone-based pricing</t>
  </si>
  <si>
    <t xml:space="preserve">Delivery Rules Engine</t>
  </si>
  <si>
    <t xml:space="preserve">shipment/shipmentRules + calenderRules/*</t>
  </si>
  <si>
    <t xml:space="preserve">Distance-based, weight-based, zone-based, time-based, product-category rules; min order; same-day/next-day logic</t>
  </si>
  <si>
    <t xml:space="preserve">Sprint 2.4 - Delivery rules engine</t>
  </si>
  <si>
    <t xml:space="preserve">Carrier Rate Calculation</t>
  </si>
  <si>
    <t xml:space="preserve">carrierService/* (6 files)</t>
  </si>
  <si>
    <t xml:space="preserve">routes/carriers.ts</t>
  </si>
  <si>
    <t xml:space="preserve">Rate calculator engine, natural load balancing, Shopify carrier service callback, multi-carrier comparison</t>
  </si>
  <si>
    <t xml:space="preserve">Notification Dispatch</t>
  </si>
  <si>
    <t xml:space="preserve">notifications/* (9 files)</t>
  </si>
  <si>
    <t xml:space="preserve">Email (SendGrid/SMTP), SMS (Twilio), WhatsApp (Meta Cloud API), Push (Firebase), Slack — all channel dispatchers</t>
  </si>
  <si>
    <t xml:space="preserve">Notification Templates</t>
  </si>
  <si>
    <t xml:space="preserve">campaign/emailTemplate + whatsappTemplate</t>
  </si>
  <si>
    <t xml:space="preserve">Template CRUD, Unlayer email editor, WhatsApp template sync, variable interpolation, multi-language</t>
  </si>
  <si>
    <t xml:space="preserve">Sprint 2.4 - Campaign manager + template engine</t>
  </si>
  <si>
    <t xml:space="preserve">Webhook Processing</t>
  </si>
  <si>
    <t xml:space="preserve">webhooks/* (7 files) + 5 webhook servers</t>
  </si>
  <si>
    <t xml:space="preserve">routes/shopify-webhooks.ts</t>
  </si>
  <si>
    <t xml:space="preserve">Missing dedicated queue processors for orders, products, customers, inventory; missing retry logic, dead letter queues</t>
  </si>
  <si>
    <t xml:space="preserve">Shopify Sync</t>
  </si>
  <si>
    <t xml:space="preserve">shopify/* (15 files)</t>
  </si>
  <si>
    <t xml:space="preserve">Order sync, product sync, customer sync, inventory sync, collection sync, metafield ops, cart validation, fulfillment routing, GraphQL helpers</t>
  </si>
  <si>
    <t xml:space="preserve">tracking/* (3 files) + Firebase</t>
  </si>
  <si>
    <t xml:space="preserve">Firebase real-time driver location, customer tracking page updates, driver notification triggers, WebSocket/SSE fallback</t>
  </si>
  <si>
    <t xml:space="preserve">Payment Processing</t>
  </si>
  <si>
    <t xml:space="preserve">cod/* + paymentGateways/*</t>
  </si>
  <si>
    <t xml:space="preserve">routes/payment-methods.ts + packages/core/src/payments/</t>
  </si>
  <si>
    <t xml:space="preserve">COD gateway implemented; abstract PaymentGateway for Stripe/Razorpay; idempotent processor</t>
  </si>
  <si>
    <t xml:space="preserve">Analytics Engine</t>
  </si>
  <si>
    <t xml:space="preserve">analytics/dashboard + analyticsEvent/*</t>
  </si>
  <si>
    <t xml:space="preserve">routes/analytics-v2.ts + packages/core/src/analytics/</t>
  </si>
  <si>
    <t xml:space="preserve">Event tracker, time-series aggregator, dashboard widgets; 6 API endpoints</t>
  </si>
  <si>
    <t xml:space="preserve">Campaign System</t>
  </si>
  <si>
    <t xml:space="preserve">campaign/* (3 files)</t>
  </si>
  <si>
    <t xml:space="preserve">Campaign creation, audience segmentation, broadcast groups, send scheduling, open/click tracking</t>
  </si>
  <si>
    <t xml:space="preserve">File Management</t>
  </si>
  <si>
    <t xml:space="preserve">Files/* (2 files)</t>
  </si>
  <si>
    <t xml:space="preserve">File upload/download, CSV import/export, POD photo storage, document management</t>
  </si>
  <si>
    <t xml:space="preserve">Billing &amp; Plans</t>
  </si>
  <si>
    <t xml:space="preserve">store/billingService + plansService</t>
  </si>
  <si>
    <t xml:space="preserve">routes/billing.ts</t>
  </si>
  <si>
    <t xml:space="preserve">Shopify billing API integration, plan management, usage metering, upgrade/downgrade, invoice generation</t>
  </si>
  <si>
    <t xml:space="preserve">User/Role Management</t>
  </si>
  <si>
    <t xml:space="preserve">users/* (5 files)</t>
  </si>
  <si>
    <t xml:space="preserve">routes/users.ts</t>
  </si>
  <si>
    <t xml:space="preserve">Missing: user invitation flow, role assignment API, permission CRUD, activity logging per user</t>
  </si>
  <si>
    <t xml:space="preserve">Store Management</t>
  </si>
  <si>
    <t xml:space="preserve">store/* (13 files)</t>
  </si>
  <si>
    <t xml:space="preserve">routes/shops.ts</t>
  </si>
  <si>
    <t xml:space="preserve">Missing: store settings CRUD, API provider config, table filter persistence, inventory config, billing config, installer tracking</t>
  </si>
  <si>
    <t xml:space="preserve">History/Audit Trail</t>
  </si>
  <si>
    <t xml:space="preserve">history/history</t>
  </si>
  <si>
    <t xml:space="preserve">Activity logging, entity change tracking, audit trail queries, export</t>
  </si>
  <si>
    <t xml:space="preserve">Custom Metafields</t>
  </si>
  <si>
    <t xml:space="preserve">customMetafield/customMetafield</t>
  </si>
  <si>
    <t xml:space="preserve">Custom field definitions, per-entity custom data, metafield CRUD</t>
  </si>
  <si>
    <t xml:space="preserve">Sprint 2.4 - Custom metafields manager</t>
  </si>
  <si>
    <t xml:space="preserve">POS Integration</t>
  </si>
  <si>
    <t xml:space="preserve">pos/posCustomFormService + publicService/posPluginService</t>
  </si>
  <si>
    <t xml:space="preserve">Point of sale: custom form builder, POS checkout, POS-specific shipping profiles</t>
  </si>
  <si>
    <t xml:space="preserve">Public APIs (Cart Plugin)</t>
  </si>
  <si>
    <t xml:space="preserve">publicService/cartPluginService</t>
  </si>
  <si>
    <t xml:space="preserve">apps/tracking-page/src/components/ (date-picker, time-slot, rate-calc, cart-widget)</t>
  </si>
  <si>
    <t xml:space="preserve">Storefront cart plugin: delivery date picker, time slot availability, rate calculation for checkout</t>
  </si>
  <si>
    <t xml:space="preserve">Public Tracking API</t>
  </si>
  <si>
    <t xml:space="preserve">publicService/publicService + tracking/*</t>
  </si>
  <si>
    <t xml:space="preserve">routes/tracking.ts</t>
  </si>
  <si>
    <t xml:space="preserve">Missing: branded tracking page data, real-time status updates, delivery photo display, rating submission</t>
  </si>
  <si>
    <t xml:space="preserve">Event Scheduler</t>
  </si>
  <si>
    <t xml:space="preserve">scheduler/* (2 files) + queue server</t>
  </si>
  <si>
    <t xml:space="preserve">Scheduled event triggers, cron jobs, automated status updates, reminder notifications</t>
  </si>
  <si>
    <t xml:space="preserve">AM - Aisha</t>
  </si>
  <si>
    <t xml:space="preserve">CRM Integration</t>
  </si>
  <si>
    <t xml:space="preserve">crm/hubspot</t>
  </si>
  <si>
    <t xml:space="preserve">HubSpot integration, contact sync, deal tracking</t>
  </si>
  <si>
    <t xml:space="preserve">Google Calendar</t>
  </si>
  <si>
    <t xml:space="preserve">googleCalender/googleCalenderService</t>
  </si>
  <si>
    <t xml:space="preserve">Calendar integration for delivery scheduling</t>
  </si>
  <si>
    <t xml:space="preserve">Super Admin</t>
  </si>
  <si>
    <t xml:space="preserve">superAdmin/analytics + controllers/super-admin/*</t>
  </si>
  <si>
    <t xml:space="preserve">Cross-store analytics, store management, campaign management, billing admin, webhook admin</t>
  </si>
  <si>
    <t xml:space="preserve">Integration Worker</t>
  </si>
  <si>
    <t xml:space="preserve">workers/integration-worker.ts</t>
  </si>
  <si>
    <t xml:space="preserve">Integration event processing worker exists</t>
  </si>
  <si>
    <t xml:space="preserve">Notification Worker</t>
  </si>
  <si>
    <t xml:space="preserve">workers/notification-worker.ts</t>
  </si>
  <si>
    <t xml:space="preserve">Notification dispatch worker exists (shell)</t>
  </si>
  <si>
    <t xml:space="preserve">Optimization Worker</t>
  </si>
  <si>
    <t xml:space="preserve">workers/optimization-worker.ts</t>
  </si>
  <si>
    <t xml:space="preserve">Route optimization worker exists (shell)</t>
  </si>
  <si>
    <t xml:space="preserve">Settings Management</t>
  </si>
  <si>
    <t xml:space="preserve">routes/settings.ts</t>
  </si>
  <si>
    <t xml:space="preserve">— (all implemented)</t>
  </si>
  <si>
    <t xml:space="preserve">Backend</t>
  </si>
  <si>
    <t xml:space="preserve">Drivers CRUD</t>
  </si>
  <si>
    <t xml:space="preserve">— (partial)</t>
  </si>
  <si>
    <t xml:space="preserve">routes/drivers.ts</t>
  </si>
  <si>
    <t xml:space="preserve">Zones CRUD</t>
  </si>
  <si>
    <t xml:space="preserve">routes/zones.ts</t>
  </si>
  <si>
    <t xml:space="preserve">routes/time-slots.ts</t>
  </si>
  <si>
    <t xml:space="preserve">Locations CRUD</t>
  </si>
  <si>
    <t xml:space="preserve">routes/locations.ts</t>
  </si>
  <si>
    <t xml:space="preserve">Shipments CRUD</t>
  </si>
  <si>
    <t xml:space="preserve">routes/shipments.ts</t>
  </si>
  <si>
    <t xml:space="preserve">Customers CRUD</t>
  </si>
  <si>
    <t xml:space="preserve">routes/customers.ts</t>
  </si>
  <si>
    <t xml:space="preserve">Products CRUD</t>
  </si>
  <si>
    <t xml:space="preserve">routes/products.ts</t>
  </si>
  <si>
    <t xml:space="preserve">Payments CRUD</t>
  </si>
  <si>
    <t xml:space="preserve">routes/payments.ts</t>
  </si>
  <si>
    <t xml:space="preserve">Calendar Rules</t>
  </si>
  <si>
    <t xml:space="preserve">routes/calendar-rules.ts</t>
  </si>
  <si>
    <t xml:space="preserve">routes/shipping-profiles.ts</t>
  </si>
  <si>
    <t xml:space="preserve">routes/analytics.ts</t>
  </si>
  <si>
    <t xml:space="preserve">Activity Logs</t>
  </si>
  <si>
    <t xml:space="preserve">routes/activity-logs.ts</t>
  </si>
  <si>
    <t xml:space="preserve">routes/notification-templates.ts</t>
  </si>
  <si>
    <t xml:space="preserve">routes/integrations.ts</t>
  </si>
  <si>
    <t xml:space="preserve">Shopify</t>
  </si>
  <si>
    <t xml:space="preserve">Organizations</t>
  </si>
  <si>
    <t xml:space="preserve">routes/orgs.ts</t>
  </si>
  <si>
    <t xml:space="preserve">Health Checks</t>
  </si>
  <si>
    <t xml:space="preserve">routes/health.ts</t>
  </si>
  <si>
    <t xml:space="preserve">— (liveness + readiness + deep)</t>
  </si>
  <si>
    <t xml:space="preserve">Auth Provider Registry</t>
  </si>
  <si>
    <t xml:space="preserve">packages/core/src/auth/</t>
  </si>
  <si>
    <t xml:space="preserve">Multi-provider auth (Auth0, Clerk, Cognito, Firebase Auth, SAML, OIDC) with same BYOK pattern as routing/notifications</t>
  </si>
  <si>
    <t xml:space="preserve">Platform Admin API</t>
  </si>
  <si>
    <t xml:space="preserve">routes/admin.ts</t>
  </si>
  <si>
    <t xml:space="preserve">User CRUD, customer management, store oversight, platform metrics, config management</t>
  </si>
  <si>
    <t xml:space="preserve">pos/posCustomFormService</t>
  </si>
  <si>
    <t xml:space="preserve">routes/pos.ts + core/pos/</t>
  </si>
  <si>
    <t xml:space="preserve">POS checkout, custom form builder, POS-specific shipping profiles</t>
  </si>
  <si>
    <t xml:space="preserve">Docker Production Deploy</t>
  </si>
  <si>
    <t xml:space="preserve">infra/docker/</t>
  </si>
  <si>
    <t xml:space="preserve">Multi-stage Dockerfiles, docker-compose.prod.yml, health checks, env config</t>
  </si>
  <si>
    <t xml:space="preserve">API Hardening</t>
  </si>
  <si>
    <t xml:space="preserve">— (existing)</t>
  </si>
  <si>
    <t xml:space="preserve">routes/*.ts</t>
  </si>
  <si>
    <t xml:space="preserve">Zod validation on all routes, error standardization, OpenAPI spec generation</t>
  </si>
  <si>
    <t xml:space="preserve">E2E Test Framework</t>
  </si>
  <si>
    <t xml:space="preserve">tests/e2e/</t>
  </si>
  <si>
    <t xml:space="preserve">Integration test suites, load testing scripts (k6), CI pipeline</t>
  </si>
  <si>
    <t xml:space="preserve">KS - Kavitha</t>
  </si>
  <si>
    <t xml:space="preserve">EVENT SYSTEM (Sprint 3.0)</t>
  </si>
  <si>
    <t xml:space="preserve">Event Bus</t>
  </si>
  <si>
    <t xml:space="preserve">Typed event emitter + Redis Streams pub/sub</t>
  </si>
  <si>
    <t xml:space="preserve">Webhook API</t>
  </si>
  <si>
    <t xml:space="preserve">Registration, delivery, signing, retry routes</t>
  </si>
  <si>
    <t xml:space="preserve">Workflow Integration</t>
  </si>
  <si>
    <t xml:space="preserve">Auto-trigger workflows from existing API endpoints</t>
  </si>
  <si>
    <t xml:space="preserve">Socket.io Workflow Events</t>
  </si>
  <si>
    <t xml:space="preserve">Real-time workflow progress over WebSocket</t>
  </si>
  <si>
    <t xml:space="preserve">Shopify Workflow Bridge</t>
  </si>
  <si>
    <t xml:space="preserve">Shopify order webhook → createDeliveryOrder trigger</t>
  </si>
  <si>
    <t xml:space="preserve">Component</t>
  </si>
  <si>
    <t xml:space="preserve">Action Required</t>
  </si>
  <si>
    <t xml:space="preserve">Database</t>
  </si>
  <si>
    <t xml:space="preserve">MongoDB (Mongoose + speed-goose caching)</t>
  </si>
  <si>
    <t xml:space="preserve">PostgreSQL + Prisma 6</t>
  </si>
  <si>
    <t xml:space="preserve">Data migration scripts needed for existing customers</t>
  </si>
  <si>
    <t xml:space="preserve">Message Queue</t>
  </si>
  <si>
    <t xml:space="preserve">Azure Service Bus (9 queues)</t>
  </si>
  <si>
    <t xml:space="preserve">packages/core/src/queue/ (7 consumers + base class)</t>
  </si>
  <si>
    <t xml:space="preserve">BullMQ consumers: order-webhook, product-webhook, driver-tracking, event-scheduler + DLQ</t>
  </si>
  <si>
    <t xml:space="preserve">Cache Layer</t>
  </si>
  <si>
    <t xml:space="preserve">Redis (sessions + pub/sub + ORM cache)</t>
  </si>
  <si>
    <t xml:space="preserve">packages/core/src/cache/</t>
  </si>
  <si>
    <t xml:space="preserve">Redis client exists but caching strategy not implemented; need: session store, query cache, rate limiting, pub/sub for real-time</t>
  </si>
  <si>
    <t xml:space="preserve">Real-time</t>
  </si>
  <si>
    <t xml:space="preserve">Firebase Realtime Database + WebSocket</t>
  </si>
  <si>
    <t xml:space="preserve">Socket.io realtime layer</t>
  </si>
  <si>
    <t xml:space="preserve">Need real-time infrastructure: WebSocket/SSE server, driver location streaming, order status push to customers</t>
  </si>
  <si>
    <t xml:space="preserve">File Storage</t>
  </si>
  <si>
    <t xml:space="preserve">Local + cloud (implied)</t>
  </si>
  <si>
    <t xml:space="preserve">Sprint 2.4 - Local + S3 file storage</t>
  </si>
  <si>
    <t xml:space="preserve">Process Manager</t>
  </si>
  <si>
    <t xml:space="preserve">PM2 (12 processes)</t>
  </si>
  <si>
    <t xml:space="preserve">Single Fastify + BullMQ workers</t>
  </si>
  <si>
    <t xml:space="preserve">Workers exist as stubs; need full implementations</t>
  </si>
  <si>
    <t xml:space="preserve">Sprint 2.7 - process-manager with 4 workers</t>
  </si>
  <si>
    <t xml:space="preserve">Geospatial</t>
  </si>
  <si>
    <t xml:space="preserve">Google Maps + Mapbox APIs</t>
  </si>
  <si>
    <t xml:space="preserve">geo-fence.ts + address.ts</t>
  </si>
  <si>
    <t xml:space="preserve">Re-enable PostGIS, implement geocoding service, distance matrix, route optimization API</t>
  </si>
  <si>
    <t xml:space="preserve">Email Provider</t>
  </si>
  <si>
    <t xml:space="preserve">SendGrid / SMTP (via notification service)</t>
  </si>
  <si>
    <t xml:space="preserve">email/providers + dispatch</t>
  </si>
  <si>
    <t xml:space="preserve">Email sending integration, template rendering, delivery tracking</t>
  </si>
  <si>
    <t xml:space="preserve">SMS Provider</t>
  </si>
  <si>
    <t xml:space="preserve">Twilio (via smsService)</t>
  </si>
  <si>
    <t xml:space="preserve">sms/providers + dispatch</t>
  </si>
  <si>
    <t xml:space="preserve">SMS sending, delivery receipts, phone number validation</t>
  </si>
  <si>
    <t xml:space="preserve">WhatsApp</t>
  </si>
  <si>
    <t xml:space="preserve">Meta Cloud API (via whatsApp services)</t>
  </si>
  <si>
    <t xml:space="preserve">WhatsApp Business API: template management, message sending, webhook handling</t>
  </si>
  <si>
    <t xml:space="preserve">Push Notifications</t>
  </si>
  <si>
    <t xml:space="preserve">Firebase Cloud Messaging</t>
  </si>
  <si>
    <t xml:space="preserve">push-handler.ts (FCM)</t>
  </si>
  <si>
    <t xml:space="preserve">PARTIAL</t>
  </si>
  <si>
    <t xml:space="preserve">FCM integration for driver app push notifications</t>
  </si>
  <si>
    <t xml:space="preserve">JWT + cookie sessions + Shopify session tokens</t>
  </si>
  <si>
    <t xml:space="preserve">JWT + requireAuth middleware</t>
  </si>
  <si>
    <t xml:space="preserve">Need: JWT implementation, refresh tokens, Shopify session bridge, dashboard auth middleware</t>
  </si>
  <si>
    <t xml:space="preserve">Rate Limiting</t>
  </si>
  <si>
    <t xml:space="preserve">stopcock library</t>
  </si>
  <si>
    <t xml:space="preserve">Sprint 2.4 - Token bucket rate limiter</t>
  </si>
  <si>
    <t xml:space="preserve">Monitoring</t>
  </si>
  <si>
    <t xml:space="preserve">Sentry + FullStory</t>
  </si>
  <si>
    <t xml:space="preserve">Sprint 2.4 - MetricsCollector + HealthCheckRegistry</t>
  </si>
  <si>
    <t xml:space="preserve">CI/CD</t>
  </si>
  <si>
    <t xml:space="preserve">Docker + AWS/Azure scripts</t>
  </si>
  <si>
    <t xml:space="preserve">Dockerfile + CI/CD + docker-compose</t>
  </si>
  <si>
    <t xml:space="preserve">Sprint 2.3 - GitHub Actions workflows</t>
  </si>
  <si>
    <t xml:space="preserve">Data Migration</t>
  </si>
  <si>
    <t xml:space="preserve">packages/core/src/migration/ (mongodb-adapter, transformers, runner-v2)</t>
  </si>
  <si>
    <t xml:space="preserve">MongoDB→PostgreSQL with idempotent upsert, checkpointing, 7 entity transformers</t>
  </si>
  <si>
    <t xml:space="preserve">PostGIS Extension</t>
  </si>
  <si>
    <t xml:space="preserve">N/A (used Google/Mapbox)</t>
  </si>
  <si>
    <t xml:space="preserve">packages/core/src/spatial/ (PostGIS queries + GeoJSON types)</t>
  </si>
  <si>
    <t xml:space="preserve">Parameterized SQL for ST_Distance, ST_Contains, ST_Within; Haversine fallback</t>
  </si>
  <si>
    <t xml:space="preserve">Cron / Scheduler</t>
  </si>
  <si>
    <t xml:space="preserve">PM2 cron + event scheduler queue</t>
  </si>
  <si>
    <t xml:space="preserve">Sprint 2.4 - Cron-based scheduler</t>
  </si>
  <si>
    <t xml:space="preserve">Logging</t>
  </si>
  <si>
    <t xml:space="preserve">Console + implied</t>
  </si>
  <si>
    <t xml:space="preserve">Structured logging (Pino), log aggregation, request tracing</t>
  </si>
  <si>
    <t xml:space="preserve">Encryption</t>
  </si>
  <si>
    <t xml:space="preserve">Implied for tokens</t>
  </si>
  <si>
    <t xml:space="preserve">Planned for credentials</t>
  </si>
  <si>
    <t xml:space="preserve">Need: credential encryption at rest (Integration model), token encryption, PII protection</t>
  </si>
  <si>
    <t xml:space="preserve">GDPR Compliance</t>
  </si>
  <si>
    <t xml:space="preserve">packages/core/src/compliance/</t>
  </si>
  <si>
    <t xml:space="preserve">— (anonymizer, consent, retention, audit)</t>
  </si>
  <si>
    <t xml:space="preserve">Data</t>
  </si>
  <si>
    <t xml:space="preserve">HMAC Webhook Verification</t>
  </si>
  <si>
    <t xml:space="preserve">middleware/hmac.ts</t>
  </si>
  <si>
    <t xml:space="preserve">— (Shopify HMAC validation)</t>
  </si>
  <si>
    <t xml:space="preserve">E2E Test Suites</t>
  </si>
  <si>
    <t xml:space="preserve">7 test files (4,439 lines)</t>
  </si>
  <si>
    <t xml:space="preserve">— (compliance, cache, API tests)</t>
  </si>
  <si>
    <t xml:space="preserve">QA</t>
  </si>
  <si>
    <t xml:space="preserve">Auth Provider Abstraction</t>
  </si>
  <si>
    <t xml:space="preserve">Multi-provider auth registry: Auth0, Clerk, AWS Cognito, Firebase Auth, generic OIDC, SAML 2.0 — same pattern as routing BYOK</t>
  </si>
  <si>
    <t xml:space="preserve">Docker Production Stack</t>
  </si>
  <si>
    <t xml:space="preserve">Docker + Azure scripts</t>
  </si>
  <si>
    <t xml:space="preserve">Multi-stage Dockerfiles, compose.prod.yml, Traefik reverse proxy, health checks, secrets management</t>
  </si>
  <si>
    <t xml:space="preserve">OpenAPI Spec</t>
  </si>
  <si>
    <t xml:space="preserve">docs/openapi.yaml</t>
  </si>
  <si>
    <t xml:space="preserve">Auto-generated OpenAPI 3.1 spec from Fastify schemas, Swagger UI at /docs</t>
  </si>
  <si>
    <t xml:space="preserve">DESIGN SYSTEM INFRA (Sprint 3.0)</t>
  </si>
  <si>
    <t xml:space="preserve">Tailwind CSS 4</t>
  </si>
  <si>
    <t xml:space="preserve">PostCSS + Tailwind setup with --wl-* token bridge</t>
  </si>
  <si>
    <t xml:space="preserve">shadcn/ui Registry</t>
  </si>
  <si>
    <t xml:space="preserve">Component registry with Witylogix dark theme preset</t>
  </si>
  <si>
    <t xml:space="preserve">Redis Streams</t>
  </si>
  <si>
    <t xml:space="preserve">Event bus persistence layer for reliable pub/sub</t>
  </si>
  <si>
    <t xml:space="preserve">Phase</t>
  </si>
  <si>
    <t xml:space="preserve">Sprint</t>
  </si>
  <si>
    <t xml:space="preserve">Work Item</t>
  </si>
  <si>
    <t xml:space="preserve">Category</t>
  </si>
  <si>
    <t xml:space="preserve">Est. Effort</t>
  </si>
  <si>
    <t xml:space="preserve">Dependencies</t>
  </si>
  <si>
    <t xml:space="preserve">Deliverable</t>
  </si>
  <si>
    <t xml:space="preserve">Phase 1: Foundation</t>
  </si>
  <si>
    <t xml:space="preserve">1-2</t>
  </si>
  <si>
    <t xml:space="preserve">Authentication system (JWT, login, register, password reset)</t>
  </si>
  <si>
    <t xml:space="preserve">Backend + Frontend</t>
  </si>
  <si>
    <t xml:space="preserve">2 weeks</t>
  </si>
  <si>
    <t xml:space="preserve">Auth middleware, login/register pages, session management</t>
  </si>
  <si>
    <t xml:space="preserve">PostGIS re-enable + geocoding service</t>
  </si>
  <si>
    <t xml:space="preserve">Backend + Infra</t>
  </si>
  <si>
    <t xml:space="preserve">1 week</t>
  </si>
  <si>
    <t xml:space="preserve">Spatial queries, point-in-polygon, distance calc</t>
  </si>
  <si>
    <t xml:space="preserve">Shipment model + migration</t>
  </si>
  <si>
    <t xml:space="preserve">Prisma schema + API routes for shipments</t>
  </si>
  <si>
    <t xml:space="preserve">2-3</t>
  </si>
  <si>
    <t xml:space="preserve">Location/Warehouse model + CRUD</t>
  </si>
  <si>
    <t xml:space="preserve">PostGIS</t>
  </si>
  <si>
    <t xml:space="preserve">Location management pages + API</t>
  </si>
  <si>
    <t xml:space="preserve">Calendar rules + delivery rules engine</t>
  </si>
  <si>
    <t xml:space="preserve">Scheduling engine, blackout dates, time windows</t>
  </si>
  <si>
    <t xml:space="preserve">3-4</t>
  </si>
  <si>
    <t xml:space="preserve">Shipping profile system</t>
  </si>
  <si>
    <t xml:space="preserve">Locations, Zones, Rules</t>
  </si>
  <si>
    <t xml:space="preserve">Rate calculation, profile management UI</t>
  </si>
  <si>
    <t xml:space="preserve">Phase 2: Core Ops</t>
  </si>
  <si>
    <t xml:space="preserve">5-6</t>
  </si>
  <si>
    <t xml:space="preserve">Order CRUD (full lifecycle + manual creation)</t>
  </si>
  <si>
    <t xml:space="preserve">Auth</t>
  </si>
  <si>
    <t xml:space="preserve">Order create page, detail page, status management</t>
  </si>
  <si>
    <t xml:space="preserve">Shipment lifecycle (create, track, deliver)</t>
  </si>
  <si>
    <t xml:space="preserve">3 weeks</t>
  </si>
  <si>
    <t xml:space="preserve">Shipment model, Orders</t>
  </si>
  <si>
    <t xml:space="preserve">Shipment pages, status transitions, POD</t>
  </si>
  <si>
    <t xml:space="preserve">6-7</t>
  </si>
  <si>
    <t xml:space="preserve">Route optimization (Mapbox/Google integration)</t>
  </si>
  <si>
    <t xml:space="preserve">PostGIS, Drivers</t>
  </si>
  <si>
    <t xml:space="preserve">Distance matrix, route optimization API</t>
  </si>
  <si>
    <t xml:space="preserve">7-8</t>
  </si>
  <si>
    <t xml:space="preserve">Route creation + editing UI</t>
  </si>
  <si>
    <t xml:space="preserve">Route optimization</t>
  </si>
  <si>
    <t xml:space="preserve">Route create/edit pages with map + drag/drop</t>
  </si>
  <si>
    <t xml:space="preserve">Webhook processing (order, product, customer, inventory)</t>
  </si>
  <si>
    <t xml:space="preserve">BullMQ</t>
  </si>
  <si>
    <t xml:space="preserve">Queue consumers for each Shopify webhook type</t>
  </si>
  <si>
    <t xml:space="preserve">8-9</t>
  </si>
  <si>
    <t xml:space="preserve">Shopify sync engine (orders, products, customers, inventory)</t>
  </si>
  <si>
    <t xml:space="preserve">Webhooks, Models</t>
  </si>
  <si>
    <t xml:space="preserve">Full bidirectional Shopify sync</t>
  </si>
  <si>
    <t xml:space="preserve">Phase 3: Comms</t>
  </si>
  <si>
    <t xml:space="preserve">10-11</t>
  </si>
  <si>
    <t xml:space="preserve">Email dispatch (SendGrid/SMTP)</t>
  </si>
  <si>
    <t xml:space="preserve">Email sending service + template rendering</t>
  </si>
  <si>
    <t xml:space="preserve">SMS dispatch (Twilio)</t>
  </si>
  <si>
    <t xml:space="preserve">SMS sending service</t>
  </si>
  <si>
    <t xml:space="preserve">11-12</t>
  </si>
  <si>
    <t xml:space="preserve">WhatsApp integration (Meta Cloud)</t>
  </si>
  <si>
    <t xml:space="preserve">WhatsApp template sync + message dispatch</t>
  </si>
  <si>
    <t xml:space="preserve">Push notifications (Firebase)</t>
  </si>
  <si>
    <t xml:space="preserve">FCM integration for driver app</t>
  </si>
  <si>
    <t xml:space="preserve">12-13</t>
  </si>
  <si>
    <t xml:space="preserve">Notification template editor</t>
  </si>
  <si>
    <t xml:space="preserve">Email service</t>
  </si>
  <si>
    <t xml:space="preserve">Unlayer email editor, template management UI</t>
  </si>
  <si>
    <t xml:space="preserve">Real-time driver tracking</t>
  </si>
  <si>
    <t xml:space="preserve">Firebase/WebSocket</t>
  </si>
  <si>
    <t xml:space="preserve">Live driver location on dashboard maps</t>
  </si>
  <si>
    <t xml:space="preserve">PAIR</t>
  </si>
  <si>
    <t xml:space="preserve">Cross-team</t>
  </si>
  <si>
    <t xml:space="preserve">Phase 4: Commerce</t>
  </si>
  <si>
    <t xml:space="preserve">14-15</t>
  </si>
  <si>
    <t xml:space="preserve">Product + Customer models + sync</t>
  </si>
  <si>
    <t xml:space="preserve">Shopify sync</t>
  </si>
  <si>
    <t xml:space="preserve">Product catalog, customer database</t>
  </si>
  <si>
    <t xml:space="preserve">Payment processing (COD + gateway)</t>
  </si>
  <si>
    <t xml:space="preserve">Orders, Shipments</t>
  </si>
  <si>
    <t xml:space="preserve">Payment gateway, COD, transaction tracking</t>
  </si>
  <si>
    <t xml:space="preserve">15-16</t>
  </si>
  <si>
    <t xml:space="preserve">Carrier rate calculation engine</t>
  </si>
  <si>
    <t xml:space="preserve">Shipping profiles</t>
  </si>
  <si>
    <t xml:space="preserve">Multi-carrier comparison, Shopify carrier callback</t>
  </si>
  <si>
    <t xml:space="preserve">Cart plugin / storefront widget</t>
  </si>
  <si>
    <t xml:space="preserve">Rates, Time slots</t>
  </si>
  <si>
    <t xml:space="preserve">Checkout date picker, rate display widget</t>
  </si>
  <si>
    <t xml:space="preserve">16-17</t>
  </si>
  <si>
    <t xml:space="preserve">Inventory tracking system</t>
  </si>
  <si>
    <t xml:space="preserve">Products, Locations</t>
  </si>
  <si>
    <t xml:space="preserve">Inventory by location, reorder points, sync</t>
  </si>
  <si>
    <t xml:space="preserve">Phase 5: Admin</t>
  </si>
  <si>
    <t xml:space="preserve">18-19</t>
  </si>
  <si>
    <t xml:space="preserve">Analytics engine + dashboard data</t>
  </si>
  <si>
    <t xml:space="preserve">Time-series aggregation, chart data APIs</t>
  </si>
  <si>
    <t xml:space="preserve">Billing &amp; plans system</t>
  </si>
  <si>
    <t xml:space="preserve">Shopify billing API</t>
  </si>
  <si>
    <t xml:space="preserve">Plan catalog, usage metering, upgrade flow</t>
  </si>
  <si>
    <t xml:space="preserve">19-20</t>
  </si>
  <si>
    <t xml:space="preserve">Audit trail / history system</t>
  </si>
  <si>
    <t xml:space="preserve">Activity logging, entity change tracking</t>
  </si>
  <si>
    <t xml:space="preserve">User invitation + RBAC</t>
  </si>
  <si>
    <t xml:space="preserve">Users model</t>
  </si>
  <si>
    <t xml:space="preserve">Invite flow, role assignment, permissions matrix</t>
  </si>
  <si>
    <t xml:space="preserve">20-21</t>
  </si>
  <si>
    <t xml:space="preserve">Onboarding flow</t>
  </si>
  <si>
    <t xml:space="preserve">Auth, Shipping profiles</t>
  </si>
  <si>
    <t xml:space="preserve">Multi-step setup wizard</t>
  </si>
  <si>
    <t xml:space="preserve">Super admin panel</t>
  </si>
  <si>
    <t xml:space="preserve">All models</t>
  </si>
  <si>
    <t xml:space="preserve">Cross-store management, billing admin</t>
  </si>
  <si>
    <t xml:space="preserve">Phase 6: Polish</t>
  </si>
  <si>
    <t xml:space="preserve">22-23</t>
  </si>
  <si>
    <t xml:space="preserve">Campaign / marketing module</t>
  </si>
  <si>
    <t xml:space="preserve">Campaign creation, audience targeting, broadcast</t>
  </si>
  <si>
    <t xml:space="preserve">Custom metafields system</t>
  </si>
  <si>
    <t xml:space="preserve">Custom field definitions, per-entity data</t>
  </si>
  <si>
    <t xml:space="preserve">23-24</t>
  </si>
  <si>
    <t xml:space="preserve">POS integration</t>
  </si>
  <si>
    <t xml:space="preserve">Products, Payments</t>
  </si>
  <si>
    <t xml:space="preserve">POS checkout, custom forms</t>
  </si>
  <si>
    <t xml:space="preserve">Map views (orders, shipments, routes on map)</t>
  </si>
  <si>
    <t xml:space="preserve">PostGIS, Leaflet</t>
  </si>
  <si>
    <t xml:space="preserve">Leaflet map components with marker clusters</t>
  </si>
  <si>
    <t xml:space="preserve">24-25</t>
  </si>
  <si>
    <t xml:space="preserve">Data migration tools (MongoDB → PostgreSQL)</t>
  </si>
  <si>
    <t xml:space="preserve">Migration scripts, validation, rollback</t>
  </si>
  <si>
    <t xml:space="preserve">CI/CD, Docker, monitoring</t>
  </si>
  <si>
    <t xml:space="preserve">Docker builds, Sentry, Pino logging, deployment</t>
  </si>
  <si>
    <t xml:space="preserve">Phase 7: Production</t>
  </si>
  <si>
    <t xml:space="preserve">2.8</t>
  </si>
  <si>
    <t xml:space="preserve">Auth provider abstraction (Auth0, Clerk, Cognito, Firebase, OIDC, SAML)</t>
  </si>
  <si>
    <t xml:space="preserve">Auth system</t>
  </si>
  <si>
    <t xml:space="preserve">Multi-provider auth registry with BYOK pattern</t>
  </si>
  <si>
    <t xml:space="preserve">Platform admin panel (user/customer management)</t>
  </si>
  <si>
    <t xml:space="preserve">Auth, RBAC</t>
  </si>
  <si>
    <t xml:space="preserve">Admin dashboard for platform-level oversight</t>
  </si>
  <si>
    <t xml:space="preserve">Activity log &amp; Settings redesign (frontend-design)</t>
  </si>
  <si>
    <t xml:space="preserve">Audit, Settings</t>
  </si>
  <si>
    <t xml:space="preserve">Production-grade UI with frontend-design skill</t>
  </si>
  <si>
    <t xml:space="preserve">Docker production deployment</t>
  </si>
  <si>
    <t xml:space="preserve">Multi-stage Dockerfiles, compose.prod.yml, health checks</t>
  </si>
  <si>
    <t xml:space="preserve">API hardening + OpenAPI spec</t>
  </si>
  <si>
    <t xml:space="preserve">All routes</t>
  </si>
  <si>
    <t xml:space="preserve">Zod validation, error standardization, Swagger UI</t>
  </si>
  <si>
    <t xml:space="preserve">E2E tests + load testing</t>
  </si>
  <si>
    <t xml:space="preserve">All apps</t>
  </si>
  <si>
    <t xml:space="preserve">Integration suites, k6 load tests, CI pipeline</t>
  </si>
  <si>
    <t xml:space="preserve">PHASE 3.0: EVENT SYSTEM &amp; DESIGN SYSTEM</t>
  </si>
  <si>
    <t xml:space="preserve">Design System Migration</t>
  </si>
  <si>
    <t xml:space="preserve">Migrate dashboard from custom components to shadcn/ui + Tailwind CSS 4</t>
  </si>
  <si>
    <t xml:space="preserve">Phase 3.0</t>
  </si>
  <si>
    <t xml:space="preserve">Sprint 3.0-3.1</t>
  </si>
  <si>
    <t xml:space="preserve">CRITICAL</t>
  </si>
  <si>
    <t xml:space="preserve">Component Library (shadcn/ui)</t>
  </si>
  <si>
    <t xml:space="preserve">Install and configure shadcn/ui with Witylogix theme tokens</t>
  </si>
  <si>
    <t xml:space="preserve">HIGH</t>
  </si>
  <si>
    <t xml:space="preserve">Tailwind CSS 4 Setup</t>
  </si>
  <si>
    <t xml:space="preserve">Add Tailwind CSS 4 to dashboard with --wl-* token mapping</t>
  </si>
  <si>
    <t xml:space="preserve">Event Bus Foundation</t>
  </si>
  <si>
    <t xml:space="preserve">Typed event emitter with Redis Streams pub/sub</t>
  </si>
  <si>
    <t xml:space="preserve">Workflow-API Integration</t>
  </si>
  <si>
    <t xml:space="preserve">Wire workflow engine into existing order/driver/delivery endpoints</t>
  </si>
  <si>
    <t xml:space="preserve">Webhook System</t>
  </si>
  <si>
    <t xml:space="preserve">Outbound webhooks for workflow events with signing and retry</t>
  </si>
  <si>
    <t xml:space="preserve">MEDIUM</t>
  </si>
  <si>
    <t xml:space="preserve">Real-time Workflow Updates</t>
  </si>
  <si>
    <t xml:space="preserve">Socket.io integration for live workflow step progression</t>
  </si>
  <si>
    <t xml:space="preserve">Shopify Workflow Triggers</t>
  </si>
  <si>
    <t xml:space="preserve">Connect Shopify order webhooks to workflow engine</t>
  </si>
  <si>
    <t xml:space="preserve">SPRINT 3.1 PLANNED</t>
  </si>
  <si>
    <t xml:space="preserve">SPRINT 3.2 PLANNED — Notification Providers, Carrier APIs, POS Extension &amp; Page Migration (Date: 2026-03-08)</t>
  </si>
  <si>
    <t xml:space="preserve">Phase 3.2: Notifications &amp; Carriers</t>
  </si>
  <si>
    <t xml:space="preserve">3.2</t>
  </si>
  <si>
    <t xml:space="preserve">ADR-012 notification architecture + orchestrator wiring</t>
  </si>
  <si>
    <t xml:space="preserve">3 files</t>
  </si>
  <si>
    <t xml:space="preserve">Page Tailwind migration batch 4 — orders/*, routes/*</t>
  </si>
  <si>
    <t xml:space="preserve">10 pages</t>
  </si>
  <si>
    <t xml:space="preserve">Page Tailwind migration batch 5 — delivery/*, shipping-profiles/*, collections, integrations</t>
  </si>
  <si>
    <t xml:space="preserve">8 pages</t>
  </si>
  <si>
    <t xml:space="preserve">SendGrid + Twilio real HTTP implementations</t>
  </si>
  <si>
    <t xml:space="preserve">2 files</t>
  </si>
  <si>
    <t xml:space="preserve">WhatsApp + Firebase Push real HTTP implementations</t>
  </si>
  <si>
    <t xml:space="preserve">Page Tailwind migration batch 6 — analytics, billing, support, profile, notifications, stores</t>
  </si>
  <si>
    <t xml:space="preserve">6 pages</t>
  </si>
  <si>
    <t xml:space="preserve">FedEx + UPS carrier adapter real HTTP APIs</t>
  </si>
  <si>
    <t xml:space="preserve">Notification provider tests + carrier adapter tests + validator tests</t>
  </si>
  <si>
    <t xml:space="preserve">6 test suites</t>
  </si>
  <si>
    <t xml:space="preserve">POS UI extension scaffold + checkout/POS shared components</t>
  </si>
  <si>
    <t xml:space="preserve">8 files</t>
  </si>
  <si>
    <t xml:space="preserve">SPRINT 3.3 PLANNED — Worker Wiring, Auth OAuth2, OSRM Routing &amp; Final Page Migration (Date: 2026-03-08)</t>
  </si>
  <si>
    <t xml:space="preserve">Phase 3.3: Worker &amp; Auth</t>
  </si>
  <si>
    <t xml:space="preserve">3.3</t>
  </si>
  <si>
    <t xml:space="preserve">ADR-013 worker-orchestrator architecture + notification worker rewrite to use orchestrator</t>
  </si>
  <si>
    <t xml:space="preserve">Page Tailwind migration batch 7 — map, tracking/live, onboarding, widget-config, time-slots</t>
  </si>
  <si>
    <t xml:space="preserve">Page Tailwind migration batch 8 — auth/login, auth/register, auth/forgot-password, auth/layout, campaigns, campaigns/[id]</t>
  </si>
  <si>
    <t xml:space="preserve">DHL carrier adapter real HTTP + OSRM Phase 2 routing provider</t>
  </si>
  <si>
    <t xml:space="preserve">Auth OAuth2 code exchange + API route BullMQ job wiring</t>
  </si>
  <si>
    <t xml:space="preserve">Page Tailwind migration batch 9 — page.tsx (home), widgets, routes/[id]/assign, admin/design-system, onboarding/layout, layout.tsx</t>
  </si>
  <si>
    <t xml:space="preserve">Notification worker integration tests + API route notification enqueueing</t>
  </si>
  <si>
    <t xml:space="preserve">Validator schema tests + carrier adapter DHL tests + OSRM routing tests</t>
  </si>
  <si>
    <t xml:space="preserve">Shopify app webhook integration + checkout extension improvements</t>
  </si>
  <si>
    <t xml:space="preserve">SPRINT 3.4 PLANNED — Platform Abstraction, Competitive Intel &amp; Final Tailwind Migration (Date: 2026-03-08)</t>
  </si>
  <si>
    <t xml:space="preserve">Phase 3.4: Platform Abstraction</t>
  </si>
  <si>
    <t xml:space="preserve">3.4</t>
  </si>
  <si>
    <t xml:space="preserve">Fleetbase competitive analysis + ADR-014 platform abstraction</t>
  </si>
  <si>
    <t xml:space="preserve">Page Tailwind migration batch 10 — stores, tracking-config, admin/shops/[id], profile, activity</t>
  </si>
  <si>
    <t xml:space="preserve">5 pages, ~450 style conversions</t>
  </si>
  <si>
    <t xml:space="preserve">Page Tailwind migration batch 11 — drivers, calendar, notifications, admin/customers, shipments</t>
  </si>
  <si>
    <t xml:space="preserve">5 pages, ~315 styles</t>
  </si>
  <si>
    <t xml:space="preserve">Platform source abstraction — Prisma schema + queue types + consumer refactor</t>
  </si>
  <si>
    <t xml:space="preserve">6 files</t>
  </si>
  <si>
    <t xml:space="preserve">Workflow platform abstraction + API route TODO stubs</t>
  </si>
  <si>
    <t xml:space="preserve">5 files</t>
  </si>
  <si>
    <t xml:space="preserve">Page Tailwind migration batch 12 — admin/workflows/[id], widget-config, shipping-profiles, admin/workflows, locations, admin/users</t>
  </si>
  <si>
    <t xml:space="preserve">6 pages, ~176 styles</t>
  </si>
  <si>
    <t xml:space="preserve">Analytics events DI injection + billing Shopify subscription status</t>
  </si>
  <si>
    <t xml:space="preserve">4 files</t>
  </si>
  <si>
    <t xml:space="preserve">Platform abstraction tests + regression tests for refactored consumers</t>
  </si>
  <si>
    <t xml:space="preserve">4 test suites</t>
  </si>
  <si>
    <t xml:space="preserve">Collections platform abstraction + collections Shopify GraphQL adapter</t>
  </si>
  <si>
    <t xml:space="preserve">Phase 3: Competitive Parity</t>
  </si>
  <si>
    <t xml:space="preserve">Frontend + Backend</t>
  </si>
  <si>
    <t xml:space="preserve">Event Bus, Route Optimization</t>
  </si>
  <si>
    <t xml:space="preserve">Routific-quality dispatch view with color-coded routes + timeline</t>
  </si>
  <si>
    <t xml:space="preserve">Frontend + Package</t>
  </si>
  <si>
    <t xml:space="preserve">Slot Engine API</t>
  </si>
  <si>
    <t xml:space="preserve">Pickeasy-quality embeddable widget with slots, blackout, zip validation</t>
  </si>
  <si>
    <t xml:space="preserve">NK - Nikhil</t>
  </si>
  <si>
    <t xml:space="preserve">Frontend (New App)</t>
  </si>
  <si>
    <t xml:space="preserve">Auth, Orders API</t>
  </si>
  <si>
    <t xml:space="preserve">Next.js portal: order history, tracking, reschedule, preferences</t>
  </si>
  <si>
    <t xml:space="preserve">DM - Deepak</t>
  </si>
  <si>
    <t xml:space="preserve">Slot Engine API &amp; Capacity Management</t>
  </si>
  <si>
    <t xml:space="preserve">1.5 weeks</t>
  </si>
  <si>
    <t xml:space="preserve">Prisma models</t>
  </si>
  <si>
    <t xml:space="preserve">Slot availability, capacity limits, zone-rate calculator, deadlines</t>
  </si>
  <si>
    <t xml:space="preserve">RG - Rahul</t>
  </si>
  <si>
    <t xml:space="preserve">POD v2: Photo + Signature + QR</t>
  </si>
  <si>
    <t xml:space="preserve">Backend + Mobile</t>
  </si>
  <si>
    <t xml:space="preserve">S3/R2 storage</t>
  </si>
  <si>
    <t xml:space="preserve">Multi-method POD with delivery status timeline + cloud storage</t>
  </si>
  <si>
    <t xml:space="preserve">Customer Notification Engine v2</t>
  </si>
  <si>
    <t xml:space="preserve">Backend + Integration</t>
  </si>
  <si>
    <t xml:space="preserve">Twilio, Meta Business</t>
  </si>
  <si>
    <t xml:space="preserve">Email + SMS + WhatsApp + push with template engine</t>
  </si>
  <si>
    <t xml:space="preserve">SP - Sanjay</t>
  </si>
  <si>
    <t xml:space="preserve">Full-stack</t>
  </si>
  <si>
    <t xml:space="preserve">Checkout &amp; Dispatch Component Library</t>
  </si>
  <si>
    <t xml:space="preserve">Design system</t>
  </si>
  <si>
    <t xml:space="preserve">DatePicker, TimeSlotGrid, RouteTimeline, DriverCard, StopMarker</t>
  </si>
  <si>
    <t xml:space="preserve">E2E: Dispatch, Checkout &amp; Portal</t>
  </si>
  <si>
    <t xml:space="preserve">All Sprint 4.5 features</t>
  </si>
  <si>
    <t xml:space="preserve">Playwright suites for dispatch, checkout, portal, POD, notifications</t>
  </si>
  <si>
    <t xml:space="preserve">Shopify Checkout Extension + Google Maps</t>
  </si>
  <si>
    <t xml:space="preserve">Checkout widget</t>
  </si>
  <si>
    <t xml:space="preserve">Shopify extension, Google Maps zone viz, Calendar sync</t>
  </si>
  <si>
    <t xml:space="preserve">Smart Slot Recommendation + ML ETA</t>
  </si>
  <si>
    <t xml:space="preserve">AI/ML</t>
  </si>
  <si>
    <t xml:space="preserve">Slot Engine, historical data</t>
  </si>
  <si>
    <t xml:space="preserve">ML slot recommender + traffic-aware ETA (3-5 models)</t>
  </si>
  <si>
    <t xml:space="preserve">ZR - Zara</t>
  </si>
  <si>
    <t xml:space="preserve">AI</t>
  </si>
  <si>
    <t xml:space="preserve">Checkout widget, Orders API</t>
  </si>
  <si>
    <t xml:space="preserve">WooCommerce REST API adapter, checkout block, webhook sync</t>
  </si>
  <si>
    <t xml:space="preserve">Google Maps &amp; Calendar Native Integration</t>
  </si>
  <si>
    <t xml:space="preserve">Maps JS API</t>
  </si>
  <si>
    <t xml:space="preserve">Zone visualization, address autocomplete, Calendar order reminders</t>
  </si>
  <si>
    <t xml:space="preserve">GPS tracking, Route data</t>
  </si>
  <si>
    <t xml:space="preserve">Route analytics, on-time %, driver scorecard, CO2 tracking</t>
  </si>
  <si>
    <t xml:space="preserve">Integration + Backend</t>
  </si>
  <si>
    <t xml:space="preserve">Fleet module</t>
  </si>
  <si>
    <t xml:space="preserve">Adapter layer for Samsara, Geotab, Verizon, Motive</t>
  </si>
  <si>
    <t xml:space="preserve">Google Directions API</t>
  </si>
  <si>
    <t xml:space="preserve">Traffic-aware ETA with 3-5 ML models, fallback to statistical</t>
  </si>
  <si>
    <t xml:space="preserve">Courier API adapters</t>
  </si>
  <si>
    <t xml:space="preserve">Onfleet, Stuart, Uber Direct adapters + partner directory</t>
  </si>
  <si>
    <t xml:space="preserve">Orders, Billing module</t>
  </si>
  <si>
    <t xml:space="preserve">Per-delivery/route invoicing, PDF generation, QuickBooks/Xero</t>
  </si>
  <si>
    <t xml:space="preserve">Phase 4: Market Leadership</t>
  </si>
  <si>
    <t xml:space="preserve">5.0</t>
  </si>
  <si>
    <t xml:space="preserve">4 weeks</t>
  </si>
  <si>
    <t xml:space="preserve">Historical delivery data</t>
  </si>
  <si>
    <t xml:space="preserve">Time-series demand forecasting, auto capacity adjustment</t>
  </si>
  <si>
    <t xml:space="preserve">Gap Statistics Summary</t>
  </si>
  <si>
    <t xml:space="preserve">Sprint 4.5</t>
  </si>
  <si>
    <t xml:space="preserve">SPRINT PROGRESS (as of Sprint 4.5)</t>
  </si>
  <si>
    <t xml:space="preserve">Customer Experience &amp; Checkout</t>
  </si>
  <si>
    <t xml:space="preserve">Last Updated: Sprint 4.5 (2026-03-11)</t>
  </si>
  <si>
    <t xml:space="preserve">1 (customer-portal)</t>
  </si>
  <si>
    <t xml:space="preserve">Metric</t>
  </si>
  <si>
    <t xml:space="preserve">Sprint 1.1</t>
  </si>
  <si>
    <t xml:space="preserve">Sprint 1.2</t>
  </si>
  <si>
    <t xml:space="preserve">Sprint 2.0</t>
  </si>
  <si>
    <t xml:space="preserve">Sprint 2.1</t>
  </si>
  <si>
    <t xml:space="preserve">Sprint 2.3</t>
  </si>
  <si>
    <t xml:space="preserve">Sprint 2.4</t>
  </si>
  <si>
    <t xml:space="preserve">Sprint 2.5</t>
  </si>
  <si>
    <t xml:space="preserve">Sprint 2.6</t>
  </si>
  <si>
    <t xml:space="preserve">Sprint 2.8</t>
  </si>
  <si>
    <t xml:space="preserve">Sprint 2.9</t>
  </si>
  <si>
    <t xml:space="preserve">Sprint 3.1</t>
  </si>
  <si>
    <t xml:space="preserve">Sprint 3.3</t>
  </si>
  <si>
    <t xml:space="preserve">Sprint 3.4</t>
  </si>
  <si>
    <t xml:space="preserve">Sprint 3.5</t>
  </si>
  <si>
    <t xml:space="preserve">Sprint 3.6</t>
  </si>
  <si>
    <t xml:space="preserve">Sprint 3.7</t>
  </si>
  <si>
    <t xml:space="preserve">Sprint 3.8</t>
  </si>
  <si>
    <t xml:space="preserve">Sprint 3.9</t>
  </si>
  <si>
    <t xml:space="preserve">Sprint 4.0</t>
  </si>
  <si>
    <t xml:space="preserve">Sprint 4.1</t>
  </si>
  <si>
    <t xml:space="preserve">Sprint 4.2</t>
  </si>
  <si>
    <t xml:space="preserve">Sprint 4.3</t>
  </si>
  <si>
    <t xml:space="preserve">Sprint 4.4</t>
  </si>
  <si>
    <t xml:space="preserve">Source Files</t>
  </si>
  <si>
    <t xml:space="preserve">Lines of Code</t>
  </si>
  <si>
    <t xml:space="preserve">Dashboard Pages</t>
  </si>
  <si>
    <t xml:space="preserve">Prisma Models</t>
  </si>
  <si>
    <t xml:space="preserve">Core Modules</t>
  </si>
  <si>
    <t xml:space="preserve">Test Files</t>
  </si>
  <si>
    <t xml:space="preserve">Shopify Pages</t>
  </si>
  <si>
    <t xml:space="preserve">Test Suites</t>
  </si>
  <si>
    <t xml:space="preserve">Test Cases</t>
  </si>
  <si>
    <t xml:space="preserve">Workers/Consumers</t>
  </si>
  <si>
    <t xml:space="preserve">Files</t>
  </si>
  <si>
    <t xml:space="preserve">Lines</t>
  </si>
  <si>
    <t xml:space="preserve">Real-time Channels</t>
  </si>
  <si>
    <t xml:space="preserve">Route optimization engine (3 algorithms + ETA)</t>
  </si>
  <si>
    <t xml:space="preserve">Workflow Definitions</t>
  </si>
  <si>
    <t xml:space="preserve">Shipping profiles detail, route assign, local orders pages</t>
  </si>
  <si>
    <t xml:space="preserve">Queue Types</t>
  </si>
  <si>
    <t xml:space="preserve">Cart plugin components (date picker, time slots, rates)</t>
  </si>
  <si>
    <t xml:space="preserve">Queue consumers (4 types) + spatial queries module</t>
  </si>
  <si>
    <t xml:space="preserve">Payment processing (gateway + processor + Prisma)</t>
  </si>
  <si>
    <t xml:space="preserve">Shipping profiles core (rate calc, calendar, validator)</t>
  </si>
  <si>
    <t xml:space="preserve">Analytics engine (event tracker, aggregator, dashboard)</t>
  </si>
  <si>
    <t xml:space="preserve">8 test suites (optimizer, payments, analytics, queue, etc.)</t>
  </si>
  <si>
    <t xml:space="preserve">Migration framework + location management API</t>
  </si>
  <si>
    <t xml:space="preserve">SPRINT 2.6 DELIVERABLES</t>
  </si>
  <si>
    <t xml:space="preserve">Campaign, messaging, audit, permissions API routes</t>
  </si>
  <si>
    <t xml:space="preserve">7 test suites (RBAC, audit, dispatcher, crypto, etc.)</t>
  </si>
  <si>
    <t xml:space="preserve">Shopify campaigns, templates, audit log routes</t>
  </si>
  <si>
    <t xml:space="preserve">SPRINT 2.7 DELIVERABLES</t>
  </si>
  <si>
    <t xml:space="preserve">Saved views engine + widget manager core modules</t>
  </si>
  <si>
    <t xml:space="preserve">6 API routes (billing, support, features, views, widgets, collections)</t>
  </si>
  <si>
    <t xml:space="preserve">7 test suites (subscription, quota, collections, support, views, widgets, process)</t>
  </si>
  <si>
    <t xml:space="preserve">5 Shopify routes (billing, invoices, support, support detail, collections)</t>
  </si>
  <si>
    <t xml:space="preserve">SPRINT 2.8 DELIVERABLES</t>
  </si>
  <si>
    <t xml:space="preserve">Remaining</t>
  </si>
  <si>
    <t xml:space="preserve">% Complete</t>
  </si>
  <si>
    <t xml:space="preserve">Standard delivery workflow pages</t>
  </si>
  <si>
    <t xml:space="preserve">Docker production stack (multi-stage, compose, nginx)</t>
  </si>
  <si>
    <t xml:space="preserve">6 test suites (auth, POS, errors, rate limit, validator, admin)</t>
  </si>
  <si>
    <t xml:space="preserve">3 Shopify routes (auth-providers, POS index, POS detail)</t>
  </si>
  <si>
    <t xml:space="preserve">SPRINT 2.9 DELIVERABLES</t>
  </si>
  <si>
    <t xml:space="preserve">Agent</t>
  </si>
  <si>
    <t xml:space="preserve">Workflow engine (DI container, step runner, compensation, registry, hooks)</t>
  </si>
  <si>
    <t xml:space="preserve">Workflow executions list page (StatCards, filters, search, table)</t>
  </si>
  <si>
    <t xml:space="preserve">Workflow execution detail page (step timeline, JSON viewer, retry)</t>
  </si>
  <si>
    <t xml:space="preserve">3 workflow definitions (createDeliveryOrder, assignDriver, completeDelivery)</t>
  </si>
  <si>
    <t xml:space="preserve">12 reusable workflow steps (validation, geocoding, rating, assignment, etc.)</t>
  </si>
  <si>
    <t xml:space="preserve">BullMQ durable execution (queue, worker, scheduler, DLQ)</t>
  </si>
  <si>
    <t xml:space="preserve">4 workflow API route files (orders, drivers, delivery, executions)</t>
  </si>
  <si>
    <t xml:space="preserve">6 test suites (engine, container, step-runner, 3 workflow tests)</t>
  </si>
  <si>
    <t xml:space="preserve">ADR-009 + Architecture debate (blue/red team standup)</t>
  </si>
  <si>
    <t xml:space="preserve">COMPLETION SUMMARY</t>
  </si>
  <si>
    <t xml:space="preserve">72.1%</t>
  </si>
  <si>
    <t xml:space="preserve">Data Models</t>
  </si>
  <si>
    <t xml:space="preserve">169.2%</t>
  </si>
  <si>
    <t xml:space="preserve">Feature Pages</t>
  </si>
  <si>
    <t xml:space="preserve">167.5%</t>
  </si>
  <si>
    <t xml:space="preserve">API Services</t>
  </si>
  <si>
    <t xml:space="preserve">157.5%</t>
  </si>
  <si>
    <t xml:space="preserve">Infrastructure</t>
  </si>
  <si>
    <t xml:space="preserve">90.5%</t>
  </si>
  <si>
    <t xml:space="preserve">Roadmap Items</t>
  </si>
  <si>
    <t xml:space="preserve">83.3%</t>
  </si>
  <si>
    <t xml:space="preserve">SPRINT 3.0 PLANNED</t>
  </si>
  <si>
    <t xml:space="preserve">Focus</t>
  </si>
  <si>
    <t xml:space="preserve">Event bus + ADR-010 event architecture</t>
  </si>
  <si>
    <t xml:space="preserve">shadcn/ui migration Phase 1 (Button, Card, Badge, Input, Select, Modal)</t>
  </si>
  <si>
    <t xml:space="preserve">Design System</t>
  </si>
  <si>
    <t xml:space="preserve">shadcn/ui migration Phase 2 (Table, Tabs, Toast, StatCard, EmptyState)</t>
  </si>
  <si>
    <t xml:space="preserve">Workflow-API integration (wire workflows into existing endpoints)</t>
  </si>
  <si>
    <t xml:space="preserve">Webhook system (registration, signing, retry, delivery tracking)</t>
  </si>
  <si>
    <t xml:space="preserve">Events</t>
  </si>
  <si>
    <t xml:space="preserve">Tailwind CSS 4 + design tokens bridge (--wl-* → Tailwind)</t>
  </si>
  <si>
    <t xml:space="preserve">Socket.io workflow events + real-time step progression</t>
  </si>
  <si>
    <t xml:space="preserve">Integration tests + component visual regression tests</t>
  </si>
  <si>
    <t xml:space="preserve">Testing</t>
  </si>
  <si>
    <t xml:space="preserve">Shopify workflow triggers + webhook management UI</t>
  </si>
  <si>
    <t xml:space="preserve">SPRINT 3.0 DELIVERABLES</t>
  </si>
  <si>
    <t xml:space="preserve">TypedEventBus (Redis Streams + InMemory), ADR-010</t>
  </si>
  <si>
    <t xml:space="preserve">shadcn/ui Phase 1: button, card, badge, input, select, modal + Tailwind config</t>
  </si>
  <si>
    <t xml:space="preserve">shadcn/ui Phase 2: table, tabs, toast, stat-card, empty-state + dropdown/skeleton/tooltip</t>
  </si>
  <si>
    <t xml:space="preserve">Workflow-API integration (auto-trigger, hooks, Fastify plugin)</t>
  </si>
  <si>
    <t xml:space="preserve">Outbound webhook system (manager, delivery, processor, emitter, routes, Prisma)</t>
  </si>
  <si>
    <t xml:space="preserve">Design system foundation (tokens, header/sidebar migration, barrel export, gallery)</t>
  </si>
  <si>
    <t xml:space="preserve">Socket.io realtime workflow events + SSE fallback + plugin</t>
  </si>
  <si>
    <t xml:space="preserve">6 test suites (event-bus, webhook, workflow-integration, realtime, UI, routes)</t>
  </si>
  <si>
    <t xml:space="preserve">Shopify webhook management (API handler, config, detail, event picker)</t>
  </si>
  <si>
    <t xml:space="preserve">ADR-011, extension-core package</t>
  </si>
  <si>
    <t xml:space="preserve">Extensions</t>
  </si>
  <si>
    <t xml:space="preserve">Page migration batch 1 (Tailwind)</t>
  </si>
  <si>
    <t xml:space="preserve">7 pages</t>
  </si>
  <si>
    <t xml:space="preserve">Page migration batch 2 (Tailwind)</t>
  </si>
  <si>
    <t xml:space="preserve">Page migration batch 3 (Tailwind)</t>
  </si>
  <si>
    <t xml:space="preserve">Queue consumer DB integration</t>
  </si>
  <si>
    <t xml:space="preserve">Event-webhook bridge</t>
  </si>
  <si>
    <t xml:space="preserve">File storage + push notifications</t>
  </si>
  <si>
    <t xml:space="preserve">Integration tests</t>
  </si>
  <si>
    <t xml:space="preserve">Checkout UI extension</t>
  </si>
  <si>
    <t xml:space="preserve">10 files</t>
  </si>
  <si>
    <t xml:space="preserve">Sprint 3.1 Deliverables</t>
  </si>
  <si>
    <t xml:space="preserve">58 files + 6 test suites</t>
  </si>
  <si>
    <t xml:space="preserve">24,767 lines</t>
  </si>
  <si>
    <t xml:space="preserve">WITYLOGIX — STANDUP NOTES &amp; ACTION ITEMS</t>
  </si>
  <si>
    <t xml:space="preserve">Architecture Pivot Debate — 2026-03-07 | Sprint 2.9 Kickoff</t>
  </si>
  <si>
    <t xml:space="preserve">Sprint 4.0 Standup — 2026-03-10 — Documentation Engine Discussion</t>
  </si>
  <si>
    <t xml:space="preserve">Docs Engine</t>
  </si>
  <si>
    <t xml:space="preserve">Fumadocs (Next.js, open-source, MDX, AI-ready)</t>
  </si>
  <si>
    <t xml:space="preserve">AI Search</t>
  </si>
  <si>
    <t xml:space="preserve">Anthropic Claude API for RAG-powered doc chat</t>
  </si>
  <si>
    <t xml:space="preserve">API Reference</t>
  </si>
  <si>
    <t xml:space="preserve">Auto-generated from OpenAPI 3.0 spec</t>
  </si>
  <si>
    <t xml:space="preserve">Scope</t>
  </si>
  <si>
    <t xml:space="preserve">Key Deliverables</t>
  </si>
  <si>
    <t xml:space="preserve">TypeScript SDK</t>
  </si>
  <si>
    <t xml:space="preserve">packages/sdk auto-generated from OpenAPI</t>
  </si>
  <si>
    <t xml:space="preserve">Workflow Engine ONLY</t>
  </si>
  <si>
    <t xml:space="preserve">packages/framework/, 3 core workflows (createDeliveryOrder, assignDriver, completeDelivery), BullMQ backing</t>
  </si>
  <si>
    <t xml:space="preserve">Sprint 2.9 — In Progress</t>
  </si>
  <si>
    <t xml:space="preserve">Design</t>
  </si>
  <si>
    <t xml:space="preserve">Dark-first, --wl-* CSS vars, industrial aesthetic</t>
  </si>
  <si>
    <t xml:space="preserve">Redis-backed event bus, notification/analytics/webhook subscribers, event-driven side effects</t>
  </si>
  <si>
    <t xml:space="preserve">Deferred</t>
  </si>
  <si>
    <t xml:space="preserve">Component Gallery</t>
  </si>
  <si>
    <t xml:space="preserve">23 components with live previews</t>
  </si>
  <si>
    <t xml:space="preserve">Module Links + Plugin System</t>
  </si>
  <si>
    <t xml:space="preserve">defineLink cross-module relations, plugin API (modules+workflows+hooks+subscribers as npm packages)</t>
  </si>
  <si>
    <t xml:space="preserve">Target</t>
  </si>
  <si>
    <t xml:space="preserve">Sprint 4.1 — all 9 agents</t>
  </si>
  <si>
    <t xml:space="preserve">BLUE/RED TEAM CONSENSUS</t>
  </si>
  <si>
    <t xml:space="preserve">Agreement</t>
  </si>
  <si>
    <t xml:space="preserve">Blue Team Position</t>
  </si>
  <si>
    <t xml:space="preserve">Red Team Position</t>
  </si>
  <si>
    <t xml:space="preserve">Resolution</t>
  </si>
  <si>
    <t xml:space="preserve">BYOK Pattern</t>
  </si>
  <si>
    <t xml:space="preserve">Keep it</t>
  </si>
  <si>
    <t xml:space="preserve">Unanimous — BYOK stays</t>
  </si>
  <si>
    <t xml:space="preserve">Prisma ORM</t>
  </si>
  <si>
    <t xml:space="preserve">Keep it (no DML/MikroORM)</t>
  </si>
  <si>
    <t xml:space="preserve">Unanimous — Prisma stays</t>
  </si>
  <si>
    <t xml:space="preserve">Fastify Framework</t>
  </si>
  <si>
    <t xml:space="preserve">Unanimous — Fastify stays</t>
  </si>
  <si>
    <t xml:space="preserve">RLS Multi-tenancy</t>
  </si>
  <si>
    <t xml:space="preserve">Unanimous — RLS stays</t>
  </si>
  <si>
    <t xml:space="preserve">Workflow Engine</t>
  </si>
  <si>
    <t xml:space="preserve">Build NOW in Sprint 2.9</t>
  </si>
  <si>
    <t xml:space="preserve">Defer until pain is proven</t>
  </si>
  <si>
    <t xml:space="preserve">Blue won — build NOW, prove on 3 workflows</t>
  </si>
  <si>
    <t xml:space="preserve">Build in Phase 1</t>
  </si>
  <si>
    <t xml:space="preserve">Defer until 10 customers</t>
  </si>
  <si>
    <t xml:space="preserve">Red won — defer to Phase 2</t>
  </si>
  <si>
    <t xml:space="preserve">Module Links</t>
  </si>
  <si>
    <t xml:space="preserve">Build in Phase 2</t>
  </si>
  <si>
    <t xml:space="preserve">Defer until 50 customers</t>
  </si>
  <si>
    <t xml:space="preserve">Red won — defer to Phase 3</t>
  </si>
  <si>
    <t xml:space="preserve">Plugin System</t>
  </si>
  <si>
    <t xml:space="preserve">Defer until customer demand</t>
  </si>
  <si>
    <t xml:space="preserve">18-Month Roadmap</t>
  </si>
  <si>
    <t xml:space="preserve">Commit to full timeline</t>
  </si>
  <si>
    <t xml:space="preserve">Re-evaluate after each phase</t>
  </si>
  <si>
    <t xml:space="preserve">Red won — no timeline commitment</t>
  </si>
  <si>
    <t xml:space="preserve">SPRINT 2.9 ACTION ITEMS</t>
  </si>
  <si>
    <t xml:space="preserve">Owner</t>
  </si>
  <si>
    <t xml:space="preserve">Action</t>
  </si>
  <si>
    <t xml:space="preserve">Design packages/framework/ with workflow engine, container DI, step runner</t>
  </si>
  <si>
    <t xml:space="preserve">Workflow engine framework (10 files, 1,738 lines)</t>
  </si>
  <si>
    <t xml:space="preserve">2.9</t>
  </si>
  <si>
    <t xml:space="preserve">Define interfaces for WorkflowStep, WorkflowContext, StepCompensation</t>
  </si>
  <si>
    <t xml:space="preserve">Workflow steps library (12 steps, 2,413 lines)</t>
  </si>
  <si>
    <t xml:space="preserve">Implement createDeliveryOrderWorkflow as proof-of-concept</t>
  </si>
  <si>
    <t xml:space="preserve">9-step workflow with 3-step compensation (1,496 lines)</t>
  </si>
  <si>
    <t xml:space="preserve">Implement assignDriverWorkflow using the framework</t>
  </si>
  <si>
    <t xml:space="preserve">10-step workflow with scoring algorithm (1,239 lines)</t>
  </si>
  <si>
    <t xml:space="preserve">Implement completeDeliveryWorkflow</t>
  </si>
  <si>
    <t xml:space="preserve">11-step workflow with POD verification (1,576 lines)</t>
  </si>
  <si>
    <t xml:space="preserve">Write test suites for all 3 workflows (step + workflow level)</t>
  </si>
  <si>
    <t xml:space="preserve">6 test files, 240+ test cases (3,194 lines)</t>
  </si>
  <si>
    <t xml:space="preserve">Dashboard page: workflow execution viewer</t>
  </si>
  <si>
    <t xml:space="preserve">List + detail pages with step timeline (1,163 lines)</t>
  </si>
  <si>
    <t xml:space="preserve">Refactor 3 existing API routes to call workflows</t>
  </si>
  <si>
    <t xml:space="preserve">4 workflow route files (1,660 lines)</t>
  </si>
  <si>
    <t xml:space="preserve">BullMQ integration for durable workflow execution</t>
  </si>
  <si>
    <t xml:space="preserve">Queue, worker, scheduler, dead-letter (1,397 lines)</t>
  </si>
  <si>
    <t xml:space="preserve">ALL</t>
  </si>
  <si>
    <t xml:space="preserve">After Sprint 2.9: review, retrospective, decide Phase 2 scope</t>
  </si>
  <si>
    <t xml:space="preserve">Retrospective document</t>
  </si>
  <si>
    <t xml:space="preserve">3.0</t>
  </si>
  <si>
    <t xml:space="preserve">REFERENCE DOCUMENTS</t>
  </si>
  <si>
    <t xml:space="preserve">ADR-009:</t>
  </si>
  <si>
    <t xml:space="preserve">docs/adr/ADR-009-medusa-inspired-architecture-evolution.md</t>
  </si>
  <si>
    <t xml:space="preserve">Standup Notes:</t>
  </si>
  <si>
    <t xml:space="preserve">docs/sprint-notes/STANDUP-2026-03-07-architecture-debate.md</t>
  </si>
  <si>
    <t xml:space="preserve">Blue Team:</t>
  </si>
  <si>
    <t xml:space="preserve">AR (CTO), DM (Frontend), NK (Frontend Lead), KS (QA Lead)</t>
  </si>
  <si>
    <t xml:space="preserve">Red Team:</t>
  </si>
  <si>
    <t xml:space="preserve">RG (Backend Lead), SP (Full-stack), PK (Sr. Backend), VS (Component Dev), AM (Integration)</t>
  </si>
  <si>
    <t xml:space="preserve">Sprint 4.2 Standup — 2026-03-10</t>
  </si>
  <si>
    <t xml:space="preserve">Sprint 4.2 shipped: ADR-021, SDK tests (141 cases), seed script, driver app screens, settings page, webhook dashboard, 5 new UI components, smoke test, CI updates</t>
  </si>
  <si>
    <t xml:space="preserve">Deep dive: CLI deployment tool for one-line VM deployment</t>
  </si>
  <si>
    <t xml:space="preserve">Decision: Pure bash CLI (witylogix) with 12 subcommands — install, deploy, upgrade, status, logs, backup, restore, ssl, env, doctor, scale, destroy</t>
  </si>
  <si>
    <t xml:space="preserve">Decision: Caddy for reverse proxy with auto-SSL (api/app/docs subdomain routing)</t>
  </si>
  <si>
    <t xml:space="preserve">Decision: AI subcommands (ai setup, ai diagnose) for Claude-powered diagnostics</t>
  </si>
  <si>
    <t xml:space="preserve">NEW TEAM MEMBER: ZR — Zara (AI Engineer) — AI-powered features, docs search, CLI diagnostics, log analysis</t>
  </si>
  <si>
    <t xml:space="preserve">Sprint 4.3 planned: Full CLI tool (infra/cli/witylogix), Caddy templates, production Docker Compose, AI diagnostics, CLI tests</t>
  </si>
  <si>
    <t xml:space="preserve">Sprint 3.5 — TODO Cleanup, Platform Abstraction Phase 2, WooCommerce Adapter &amp; Final Tailwind Push</t>
  </si>
  <si>
    <t xml:space="preserve">Files (est)</t>
  </si>
  <si>
    <t xml:space="preserve">Lines (est)</t>
  </si>
  <si>
    <t xml:space="preserve">ADR-015 WooCommerce integration + adapter architecture</t>
  </si>
  <si>
    <t xml:space="preserve">Platform abstraction Phase 2 (workflow-integration, inventory, integrations)</t>
  </si>
  <si>
    <t xml:space="preserve">TODO stub cleanup — API routes (routes.ts, collections.ts, integration-worker)</t>
  </si>
  <si>
    <t xml:space="preserve">TODO stub cleanup — Core modules (campaigns, event-bus, notifications, orchestrator)</t>
  </si>
  <si>
    <t xml:space="preserve">Tailwind migration batch 13: drivers (76 styles), onboarding (73 styles)</t>
  </si>
  <si>
    <t xml:space="preserve">NK - Nisha</t>
  </si>
  <si>
    <t xml:space="preserve">Tailwind migration batch 14: shipping-profiles, locations, admin, register</t>
  </si>
  <si>
    <t xml:space="preserve">Tailwind migration batch 15: inventory, login, admin/customers, delivery, forgot-password</t>
  </si>
  <si>
    <t xml:space="preserve">Test suites: WooCommerce adapter, TODO-fix integration, workflow platform tests</t>
  </si>
  <si>
    <t xml:space="preserve">WooCommerce webhook consumer + REST API adapter (orders/products/inventory)</t>
  </si>
  <si>
    <t xml:space="preserve">TOTALS</t>
  </si>
  <si>
    <t xml:space="preserve">Sprint 3.6 — Magento Adapter, API Route Tests, Platform Cleanup &amp; Tailwind Finish</t>
  </si>
  <si>
    <t xml:space="preserve">ADR-016 Magento integration + Magento REST adapter (PlatformAdapter)</t>
  </si>
  <si>
    <t xml:space="preserve">Platform abstraction Phase 3 — final Shopify refs in payments, integrations, collections</t>
  </si>
  <si>
    <t xml:space="preserve">API route integration tests: orders, drivers, routes, webhooks</t>
  </si>
  <si>
    <t xml:space="preserve">Final 2 TODO stubs cleanup + Magento webhook consumer</t>
  </si>
  <si>
    <t xml:space="preserve">Tailwind batch 16: admin, widgets, delivery/standard, campaigns/[id], design-system</t>
  </si>
  <si>
    <t xml:space="preserve">Tailwind batch 17: register, shipping-profiles/[id], shipments, page.tsx, auth/layout</t>
  </si>
  <si>
    <t xml:space="preserve">Tailwind batch 18: integrations, stores, payments, admin/shops/[id], activity</t>
  </si>
  <si>
    <t xml:space="preserve">Platform adapter unit tests: Shopify, WooCommerce, Magento, registry</t>
  </si>
  <si>
    <t xml:space="preserve">Custom platform adapter (API key auth, field mapping) + generic webhook route</t>
  </si>
  <si>
    <t xml:space="preserve">Sprint 3.7 Plan — Auth Actions, Core Tests, Shopify TODOs &amp; Deep Tailwind</t>
  </si>
  <si>
    <t xml:space="preserve">Task</t>
  </si>
  <si>
    <t xml:space="preserve">Deliverables</t>
  </si>
  <si>
    <t xml:space="preserve">Est. Lines</t>
  </si>
  <si>
    <t xml:space="preserve">AR (CTO)</t>
  </si>
  <si>
    <t xml:space="preserve">Arjun</t>
  </si>
  <si>
    <t xml:space="preserve">ADR-017 + Auth Actions Architecture</t>
  </si>
  <si>
    <t xml:space="preserve">ADR-017 auth-actions design, dashboard auth-actions.ts real implementation (login/register/forgot-password with API client)</t>
  </si>
  <si>
    <t xml:space="preserve">~800</t>
  </si>
  <si>
    <t xml:space="preserve">RG (Backend Lead)</t>
  </si>
  <si>
    <t xml:space="preserve">Rohan</t>
  </si>
  <si>
    <t xml:space="preserve">Core module tests: tracking, labels, monitoring</t>
  </si>
  <si>
    <t xml:space="preserve">tracking/__tests__/*.test.ts, labels/__tests__/*.test.ts, monitoring/__tests__/*.test.ts</t>
  </si>
  <si>
    <t xml:space="preserve">~2,400</t>
  </si>
  <si>
    <t xml:space="preserve">SP (Full-stack)</t>
  </si>
  <si>
    <t xml:space="preserve">Sanya</t>
  </si>
  <si>
    <t xml:space="preserve">Core module tests: drivers, orders, routes, zones</t>
  </si>
  <si>
    <t xml:space="preserve">drivers/__tests__/*.test.ts, orders/__tests__/*.test.ts, routes/__tests__/*.test.ts, zones/__tests__/*.test.ts</t>
  </si>
  <si>
    <t xml:space="preserve">~3,200</t>
  </si>
  <si>
    <t xml:space="preserve">PK (Sr. Backend)</t>
  </si>
  <si>
    <t xml:space="preserve">Priya</t>
  </si>
  <si>
    <t xml:space="preserve">Shopify app TODO fixes + shipping-profiles tests</t>
  </si>
  <si>
    <t xml:space="preserve">shopify-app webhooks.tsx fixes (user ID mapping, shop config pickup, order DB fetch), shipping-profiles/__tests__/*.test.ts</t>
  </si>
  <si>
    <t xml:space="preserve">~1,800</t>
  </si>
  <si>
    <t xml:space="preserve">AM (Integration)</t>
  </si>
  <si>
    <t xml:space="preserve">Aisha</t>
  </si>
  <si>
    <t xml:space="preserve">Core module tests: integrations, events, push, shops</t>
  </si>
  <si>
    <t xml:space="preserve">integrations/__tests__/*.test.ts, events/__tests__/*.test.ts, push/__tests__/*.test.ts, shops/__tests__/*.test.ts</t>
  </si>
  <si>
    <t xml:space="preserve">~3,000</t>
  </si>
  <si>
    <t xml:space="preserve">KS (QA Lead)</t>
  </si>
  <si>
    <t xml:space="preserve">Kavitha</t>
  </si>
  <si>
    <t xml:space="preserve">Core module tests: migration + E2E platform adapter flow test</t>
  </si>
  <si>
    <t xml:space="preserve">migration/__tests__/*.test.ts, platforms/__tests__/e2e-platform-flow.test.ts (Shopify→WooCommerce→Magento→Custom full flow)</t>
  </si>
  <si>
    <t xml:space="preserve">~2,200</t>
  </si>
  <si>
    <t xml:space="preserve">DM (Frontend)</t>
  </si>
  <si>
    <t xml:space="preserve">Deepak</t>
  </si>
  <si>
    <t xml:space="preserve">Tailwind Batch 19 (5 pages, 5+ styles)</t>
  </si>
  <si>
    <t xml:space="preserve">admin/design-system, widgets, page.tsx (home), drivers, campaigns/[id]</t>
  </si>
  <si>
    <t xml:space="preserve">~600</t>
  </si>
  <si>
    <t xml:space="preserve">NK (Frontend Lead)</t>
  </si>
  <si>
    <t xml:space="preserve">Neha</t>
  </si>
  <si>
    <t xml:space="preserve">Tailwind Batch 20 (5 pages, 5+ styles)</t>
  </si>
  <si>
    <t xml:space="preserve">(auth)/layout, shipments, (auth)/register, admin/shops/[id], admin/page</t>
  </si>
  <si>
    <t xml:space="preserve">~500</t>
  </si>
  <si>
    <t xml:space="preserve">VS (Component Dev)</t>
  </si>
  <si>
    <t xml:space="preserve">Vikram</t>
  </si>
  <si>
    <t xml:space="preserve">Tailwind Batch 21 (5 pages, 5+ styles)</t>
  </si>
  <si>
    <t xml:space="preserve">activity, widget-config, routes/page, routes/[id], orders/local</t>
  </si>
  <si>
    <t xml:space="preserve">SPRINT 3.7 TOTALS</t>
  </si>
  <si>
    <t xml:space="preserve">Auth actions, 14 core module test suites, 4 Shopify TODO fixes, 15 Tailwind pages</t>
  </si>
  <si>
    <t xml:space="preserve">~15,000</t>
  </si>
  <si>
    <t xml:space="preserve">Sprint 3.8 Plan — Error Boundaries, Security, Route Tests &amp; Tailwind Final</t>
  </si>
  <si>
    <t xml:space="preserve">ADR-018 Error Handling + .gitleaks.toml + Security Fix</t>
  </si>
  <si>
    <t xml:space="preserve">ADR-018 error-handling-resilience.md, .gitleaks.toml config, fix sk_live/sk_test → sk_example in stores + api-keys pages</t>
  </si>
  <si>
    <t xml:space="preserve">~700</t>
  </si>
  <si>
    <t xml:space="preserve">API route tests batch 1: auth, billing, campaigns</t>
  </si>
  <si>
    <t xml:space="preserve">apps/api/src/routes/__tests__/auth.test.ts, billing.test.ts, campaigns.test.ts</t>
  </si>
  <si>
    <t xml:space="preserve">API route tests batch 2: shipments, collections, integrations</t>
  </si>
  <si>
    <t xml:space="preserve">apps/api/src/routes/__tests__/shipments.test.ts, collections.test.ts, integrations.test.ts</t>
  </si>
  <si>
    <t xml:space="preserve">API route tests batch 3: customers, payments, locations</t>
  </si>
  <si>
    <t xml:space="preserve">apps/api/src/routes/__tests__/customers.test.ts, payments.test.ts, locations.test.ts</t>
  </si>
  <si>
    <t xml:space="preserve">API route tests batch 4: products, users, shops + webhook routes</t>
  </si>
  <si>
    <t xml:space="preserve">apps/api/src/routes/__tests__/products.test.ts, users.test.ts, shops.test.ts</t>
  </si>
  <si>
    <t xml:space="preserve">API route tests batch 5: analytics, admin, support-tickets</t>
  </si>
  <si>
    <t xml:space="preserve">apps/api/src/routes/__tests__/analytics.test.ts, admin.test.ts, support-tickets.test.ts</t>
  </si>
  <si>
    <t xml:space="preserve">Next.js error boundaries + loading states</t>
  </si>
  <si>
    <t xml:space="preserve">error.tsx (root + per-route-group), loading.tsx (root + key pages), not-found.tsx, ErrorBoundary component</t>
  </si>
  <si>
    <t xml:space="preserve">Tailwind Batch 22 (7 pages, 4-style tier)</t>
  </si>
  <si>
    <t xml:space="preserve">settings, routes, routes/create, locations, delivery, calendar, (auth)/login → all ≤1 inline style</t>
  </si>
  <si>
    <t xml:space="preserve">Tailwind Batch 23 (7 pages, 3-style tier) + clean dist/</t>
  </si>
  <si>
    <t xml:space="preserve">zones, time-slots, shipping-profiles, orders, notifications, collections, billing → ≤1 inline style; remove tracked dist/ files</t>
  </si>
  <si>
    <t xml:space="preserve">SPRINT 3.8 TOTALS</t>
  </si>
  <si>
    <t xml:space="preserve">ADR-018, security fix, 15 API route test suites, error boundaries, 14 Tailwind pages, dist cleanup</t>
  </si>
  <si>
    <t xml:space="preserve">~17,500</t>
  </si>
  <si>
    <t xml:space="preserve">CTO</t>
  </si>
  <si>
    <t xml:space="preserve">CONTRIBUTING.md + Docker Compose + Dockerfile</t>
  </si>
  <si>
    <t xml:space="preserve">4</t>
  </si>
  <si>
    <t xml:space="preserve">863</t>
  </si>
  <si>
    <t xml:space="preserve">-</t>
  </si>
  <si>
    <t xml:space="preserve">Backend Lead</t>
  </si>
  <si>
    <t xml:space="preserve">Route tests batch 6: activity-logs, analytics-events, audit, carriers, tracking</t>
  </si>
  <si>
    <t xml:space="preserve">5</t>
  </si>
  <si>
    <t xml:space="preserve">3974</t>
  </si>
  <si>
    <t xml:space="preserve">241</t>
  </si>
  <si>
    <t xml:space="preserve">Route tests batch 7: orgs, routes-api, permissions, time-slots, zones</t>
  </si>
  <si>
    <t xml:space="preserve">3591</t>
  </si>
  <si>
    <t xml:space="preserve">260</t>
  </si>
  <si>
    <t xml:space="preserve">Sr. Backend</t>
  </si>
  <si>
    <t xml:space="preserve">Route tests batch 8: shipping-profiles, calendar-rules, notification-templates, messages, saved-views</t>
  </si>
  <si>
    <t xml:space="preserve">4060</t>
  </si>
  <si>
    <t xml:space="preserve">211</t>
  </si>
  <si>
    <t xml:space="preserve">Route tests batch 9: woocommerce-webhooks, magento-webhooks, custom-webhooks, outbound-webhooks, workflow-orders</t>
  </si>
  <si>
    <t xml:space="preserve">4229</t>
  </si>
  <si>
    <t xml:space="preserve">227</t>
  </si>
  <si>
    <t xml:space="preserve">QA Lead</t>
  </si>
  <si>
    <t xml:space="preserve">Route tests batch 10: workflow-delivery, workflow-drivers, workflow-executions, pos, widget-config</t>
  </si>
  <si>
    <t xml:space="preserve">4413</t>
  </si>
  <si>
    <t xml:space="preserve">335</t>
  </si>
  <si>
    <t xml:space="preserve">DatePicker + Pagination UI components</t>
  </si>
  <si>
    <t xml:space="preserve">3</t>
  </si>
  <si>
    <t xml:space="preserve">520</t>
  </si>
  <si>
    <t xml:space="preserve">Frontend Lead</t>
  </si>
  <si>
    <t xml:space="preserve">Tailwind Batch 24: widgets, drivers, campaigns/[id], design-system, register</t>
  </si>
  <si>
    <t xml:space="preserve">~</t>
  </si>
  <si>
    <t xml:space="preserve">Component Dev</t>
  </si>
  <si>
    <t xml:space="preserve">Tailwind Batch 25: widget-config, admin, activity, analytics, integrations, admin/users, admin/customers</t>
  </si>
  <si>
    <t xml:space="preserve">7</t>
  </si>
  <si>
    <t xml:space="preserve">ADR-019 CI/CD + LICENSE + CI hardening</t>
  </si>
  <si>
    <t xml:space="preserve">468</t>
  </si>
  <si>
    <t xml:space="preserve">Final 4 route tests: auth-providers, billing-subscriptions, feature-requests, payment-methods</t>
  </si>
  <si>
    <t xml:space="preserve">3170</t>
  </si>
  <si>
    <t xml:space="preserve">Integration tests: order-lifecycle, auth-flow, billing-flow, webhook-chain</t>
  </si>
  <si>
    <t xml:space="preserve">4001</t>
  </si>
  <si>
    <t xml:space="preserve">87</t>
  </si>
  <si>
    <t xml:space="preserve">Shopify app tests: app-index, app-settings, app-webhooks, app-orders</t>
  </si>
  <si>
    <t xml:space="preserve">3772</t>
  </si>
  <si>
    <t xml:space="preserve">237</t>
  </si>
  <si>
    <t xml:space="preserve">Webhook E2E: Shopify, WooCommerce, Magento, cross-platform</t>
  </si>
  <si>
    <t xml:space="preserve">3676</t>
  </si>
  <si>
    <t xml:space="preserve">133</t>
  </si>
  <si>
    <t xml:space="preserve">Component unit tests: button, card, badge, input, modal, table, date-picker, pagination, error-boundary</t>
  </si>
  <si>
    <t xml:space="preserve">9</t>
  </si>
  <si>
    <t xml:space="preserve">4822</t>
  </si>
  <si>
    <t xml:space="preserve">200+</t>
  </si>
  <si>
    <t xml:space="preserve">6 new UI components: Breadcrumb, Avatar, Switch, Checkbox, Alert, Progress</t>
  </si>
  <si>
    <t xml:space="preserve">559</t>
  </si>
  <si>
    <t xml:space="preserve">Tailwind Batch 26: drivers, widgets, campaigns/[id], design-system, register</t>
  </si>
  <si>
    <t xml:space="preserve">Tailwind Batch 27: routes, locations, delivery, calendar, login, orders/local, routes/[id], routes/create</t>
  </si>
  <si>
    <t xml:space="preserve">8</t>
  </si>
  <si>
    <t xml:space="preserve">ADR-020 docs architecture + Fumadocs scaffold + AI search config</t>
  </si>
  <si>
    <t xml:space="preserve">ADR-020, apps/docs scaffold</t>
  </si>
  <si>
    <t xml:space="preserve">API reference: OpenAPI spec cleanup + 73 endpoint doc pages</t>
  </si>
  <si>
    <t xml:space="preserve">openapi.json, route docs</t>
  </si>
  <si>
    <t xml:space="preserve">Getting Started + Architecture + Self-Hosting guides (MDX)</t>
  </si>
  <si>
    <t xml:space="preserve">3 MDX guides, env ref</t>
  </si>
  <si>
    <t xml:space="preserve">SDK scaffold: packages/sdk auto-generated TypeScript client</t>
  </si>
  <si>
    <t xml:space="preserve">packages/sdk package</t>
  </si>
  <si>
    <t xml:space="preserve">Platform adapter guides (Shopify/WooCommerce/Magento/Custom)</t>
  </si>
  <si>
    <t xml:space="preserve">4 platform MDX files</t>
  </si>
  <si>
    <t xml:space="preserve">Testing guide + Contributing guide + ADR browser section</t>
  </si>
  <si>
    <t xml:space="preserve">Testing guide, ADR config</t>
  </si>
  <si>
    <t xml:space="preserve">Docs theme: dark-first design, landing page, navigation, search</t>
  </si>
  <si>
    <t xml:space="preserve">Custom theme, layout</t>
  </si>
  <si>
    <t xml:space="preserve">Component gallery: 23 components with live previews + props</t>
  </si>
  <si>
    <t xml:space="preserve">23 component pages</t>
  </si>
  <si>
    <t xml:space="preserve">Workflow engine + notification + billing/RBAC guides</t>
  </si>
  <si>
    <t xml:space="preserve">5+ MDX guide files</t>
  </si>
  <si>
    <t xml:space="preserve">Sprint 4.2 — DX Polish, SDK Tests, Seed Data &amp; Driver App Build-Out</t>
  </si>
  <si>
    <t xml:space="preserve">Theme: Make the monorepo bootable, SDK production-ready, seed data for demo, driver app screens</t>
  </si>
  <si>
    <t xml:space="preserve">Assignment</t>
  </si>
  <si>
    <t xml:space="preserve">Skill(s)</t>
  </si>
  <si>
    <t xml:space="preserve">AR - Aarav (CTO)</t>
  </si>
  <si>
    <t xml:space="preserve">ADR-021 DX &amp; Monorepo Bootability + turbo.json tuning</t>
  </si>
  <si>
    <t xml:space="preserve">ADR-021 (~400 lines), updated turbo.json with proper pipeline (build/dev/lint/test/typecheck/db:generate), workspace package.json fixes, tsconfig references cleanup</t>
  </si>
  <si>
    <t xml:space="preserve">system-design</t>
  </si>
  <si>
    <t xml:space="preserve">RG - Raj (Backend Lead)</t>
  </si>
  <si>
    <t xml:space="preserve">Database seed scripts + .env.example validation</t>
  </si>
  <si>
    <t xml:space="preserve">packages/db/src/seed.ts (demo data: 3 orgs, 10 users, 50 orders, 20 drivers, 5 zones, sample shipments), seed command in package.json, .env.example audit with all required vars documented</t>
  </si>
  <si>
    <t xml:space="preserve">PK - Priya (Sr. Backend)</t>
  </si>
  <si>
    <t xml:space="preserve">SDK test suite + publish config</t>
  </si>
  <si>
    <t xml:space="preserve">packages/sdk/__tests__/client.test.ts, orders.test.ts, drivers.test.ts, zones.test.ts, shipments.test.ts, errors.test.ts (~6 test files, 200+ cases), tsup.config.ts for build, package.json publish fields (main/module/types/exports)</t>
  </si>
  <si>
    <t xml:space="preserve">testing-strategy</t>
  </si>
  <si>
    <t xml:space="preserve">SP - Sanjay (Full-stack)</t>
  </si>
  <si>
    <t xml:space="preserve">Driver app screens build-out</t>
  </si>
  <si>
    <t xml:space="preserve">Enhanced HomeScreen (stats dashboard), ShipmentListScreen (filterable list with status badges), RouteDetailScreen (turn-by-turn with map placeholder), DeliveryProofScreen (camera + signature capture), shared hooks (useAuth, useApi, useLocation)</t>
  </si>
  <si>
    <t xml:space="preserve">frontend-design</t>
  </si>
  <si>
    <t xml:space="preserve">DM - Dev (Frontend)</t>
  </si>
  <si>
    <t xml:space="preserve">Tracking page polish + live map</t>
  </si>
  <si>
    <t xml:space="preserve">TrackingLandingPage redesign (order lookup), ShipmentTracker (status timeline + live map placeholder with Leaflet stub), DriverCard (ETA + driver info), responsive mobile-first layout, Tailwind + dark theme</t>
  </si>
  <si>
    <t xml:space="preserve">NK - Neha (Frontend Lead)</t>
  </si>
  <si>
    <t xml:space="preserve">Dashboard remaining gaps + settings page</t>
  </si>
  <si>
    <t xml:space="preserve">Settings page (/settings with tabs: profile, organization, billing, integrations, API keys), Notification preferences page, Activity feed realtime indicator, remaining page polish (any pages missing loading/error states)</t>
  </si>
  <si>
    <t xml:space="preserve">VS - Vikram (Component Dev)</t>
  </si>
  <si>
    <t xml:space="preserve">New shared components + Storybook-style gallery page</t>
  </si>
  <si>
    <t xml:space="preserve">FileUpload component, Combobox (searchable select), Timeline component, StatusBadge (delivery-specific), CommandPalette (CMD+K), update component index.ts exports, update docs gallery MDX for new components</t>
  </si>
  <si>
    <t xml:space="preserve">KS - Kavitha (QA Lead)</t>
  </si>
  <si>
    <t xml:space="preserve">SDK tests + docs app tests + smoke test script</t>
  </si>
  <si>
    <t xml:space="preserve">apps/docs/__tests__/build.test.ts (docs build smoke), packages/sdk/__tests__/integration.test.ts (mock server E2E), scripts/smoke-test.sh (boots API, hits /health, verifies response), CI workflow update for smoke test step</t>
  </si>
  <si>
    <t xml:space="preserve">AM - Aisha (Integration)</t>
  </si>
  <si>
    <t xml:space="preserve">Webhook delivery dashboard + integration health page</t>
  </si>
  <si>
    <t xml:space="preserve">Dashboard /integrations/webhooks page (delivery log table, retry button, status indicators), /integrations/health page (integration status cards with last-check timestamps), API routes for webhook delivery history query</t>
  </si>
  <si>
    <t xml:space="preserve">Sprint 4.3 — witylogix CLI Deployment Tool + AI Engineer Onboarding</t>
  </si>
  <si>
    <t xml:space="preserve">Theme: One-line VM deployment, CLI subcommands, Caddy SSL, AI diagnostics, production Docker Compose</t>
  </si>
  <si>
    <t xml:space="preserve">ADR-022 CLI Architecture + main entrypoint</t>
  </si>
  <si>
    <t xml:space="preserve">docs/adr/ADR-022-cli-deployment-tool.md (~500 lines), infra/cli/witylogix (main script ~300 lines with subcommand routing, help, version, color output, config loader)</t>
  </si>
  <si>
    <t xml:space="preserve">RG - Raj (Backend)</t>
  </si>
  <si>
    <t xml:space="preserve">deploy + install subcommands</t>
  </si>
  <si>
    <t xml:space="preserve">infra/cli/commands/install.sh (~200 lines — Docker bootstrap, dir creation, image pull), infra/cli/commands/deploy.sh (~300 lines — build/pull, migrate, seed, start, health wait, zero-downtime detection)</t>
  </si>
  <si>
    <t xml:space="preserve">backup + restore + upgrade subcommands</t>
  </si>
  <si>
    <t xml:space="preserve">infra/cli/commands/backup.sh (~200 lines — pg_dump with compression, S3 upload optional, rotation), infra/cli/commands/restore.sh (~150 lines), infra/cli/commands/upgrade.sh (~200 lines — pull, migrate, rolling restart)</t>
  </si>
  <si>
    <t xml:space="preserve">ssl + env subcommands</t>
  </si>
  <si>
    <t xml:space="preserve">infra/cli/commands/ssl.sh (~200 lines — Caddy config generator, domain setup, cert check), infra/cli/commands/env.sh (~250 lines — interactive .env configurator, validation, secret generation)</t>
  </si>
  <si>
    <t xml:space="preserve">ZR - Zara (AI Engineer)</t>
  </si>
  <si>
    <t xml:space="preserve">ai setup + ai diagnose subcommands</t>
  </si>
  <si>
    <t xml:space="preserve">infra/cli/commands/ai.sh (~300 lines — Claude API key config, log collector, diagnostic prompt builder, structured output parser), infra/cli/templates/ai-diagnose-prompt.txt</t>
  </si>
  <si>
    <t xml:space="preserve">dev subcommand</t>
  </si>
  <si>
    <t xml:space="preserve">infra/cli/commands/dev.sh (~250 lines — dependency checker, port allocator, env validator, turbo boot with status table, process manager, graceful shutdown handler)</t>
  </si>
  <si>
    <t xml:space="preserve">status + doctor subcommands</t>
  </si>
  <si>
    <t xml:space="preserve">infra/cli/commands/status.sh (~200 lines — HTTP probes for all services, formatted table), infra/cli/commands/doctor.sh (~250 lines — disk/mem/ports/DNS/Docker/connectivity checks, report generator)</t>
  </si>
  <si>
    <t xml:space="preserve">CLI tests + init subcommand</t>
  </si>
  <si>
    <t xml:space="preserve">infra/cli/commands/init.sh (~200 lines — contributor setup, deps install, prisma generate, seed, smoke test), infra/cli/__tests__/test-cli.sh (~300 lines — test harness for all subcommands), CI workflow update</t>
  </si>
  <si>
    <t xml:space="preserve">VS - Vikram (Component)</t>
  </si>
  <si>
    <t xml:space="preserve">logs + scale + destroy subcommands</t>
  </si>
  <si>
    <t xml:space="preserve">infra/cli/commands/logs.sh (~150 lines — multi-service log tailing with color), infra/cli/commands/scale.sh (~100 lines — Docker Compose scale wrapper), infra/cli/commands/destroy.sh (~120 lines — clean teardown with confirmation)</t>
  </si>
  <si>
    <t xml:space="preserve">Caddy templates + production Docker Compose</t>
  </si>
  <si>
    <t xml:space="preserve">infra/cli/templates/Caddyfile (~80 lines — reverse proxy for api/app/docs with auto-SSL), infra/docker-compose.prod.yml (~200 lines — production-grade with healthchecks, restart policies, resource limits, Caddy service), infra/cli/templates/env.template</t>
  </si>
  <si>
    <t xml:space="preserve">Sprint 4.4 — E2E Testing, Event Bus, Platform Admin &amp; Gap Closure</t>
  </si>
  <si>
    <t xml:space="preserve">Planned: 2026-03-10 | Focus: E2E framework, event bus, platform admin, package maturity</t>
  </si>
  <si>
    <t xml:space="preserve">CTO / Architect</t>
  </si>
  <si>
    <t xml:space="preserve">ADR-023 E2E Testing &amp; Event Bus architecture; Prisma schema additions (authProvider, authSession, platformAdmin, posConfig models)</t>
  </si>
  <si>
    <t xml:space="preserve">~900</t>
  </si>
  <si>
    <t xml:space="preserve">RG (Rohan)</t>
  </si>
  <si>
    <t xml:space="preserve">Event Bus with Redis Streams — typed event emitter, pub/sub, event store, replay, dead letter queue</t>
  </si>
  <si>
    <t xml:space="preserve">PK (Priya)</t>
  </si>
  <si>
    <t xml:space="preserve">Auth provider registry core module — provider CRUD, session management, token validation, multi-tenant</t>
  </si>
  <si>
    <t xml:space="preserve">6</t>
  </si>
  <si>
    <t xml:space="preserve">SP (Sanya)</t>
  </si>
  <si>
    <t xml:space="preserve">Workflow integration triggers — auto-trigger workflows from order/shipment/driver API endpoints + Socket.io events</t>
  </si>
  <si>
    <t xml:space="preserve">~1,500</t>
  </si>
  <si>
    <t xml:space="preserve">ZR (Zara)</t>
  </si>
  <si>
    <t xml:space="preserve">AI Engineer</t>
  </si>
  <si>
    <t xml:space="preserve">AI-powered monitoring — anomaly detection for delivery SLAs, predictive ETA model, alert recommendations engine</t>
  </si>
  <si>
    <t xml:space="preserve">~2,000</t>
  </si>
  <si>
    <t xml:space="preserve">NK (Neha)</t>
  </si>
  <si>
    <t xml:space="preserve">Activity log redesign — real-time filterable event stream page with timeline view, user actions, system events</t>
  </si>
  <si>
    <t xml:space="preserve">DM (Dhruv)</t>
  </si>
  <si>
    <t xml:space="preserve">Design tokens page — interactive token reference (colors, spacing, typography, shadows) + shadcn/ui component preview gallery</t>
  </si>
  <si>
    <t xml:space="preserve">~1,100</t>
  </si>
  <si>
    <t xml:space="preserve">VS (Vikram)</t>
  </si>
  <si>
    <t xml:space="preserve">Package maturity — add build scripts (tsup) + test scripts to framework, types, validators, workflows packages; fix exports</t>
  </si>
  <si>
    <t xml:space="preserve">~1,600</t>
  </si>
  <si>
    <t xml:space="preserve">KS (Kavitha)</t>
  </si>
  <si>
    <t xml:space="preserve">E2E test framework — Playwright setup, page objects, 5 critical flow tests (auth, order CRUD, driver assign, tracking, webhooks)</t>
  </si>
  <si>
    <t xml:space="preserve">10</t>
  </si>
  <si>
    <t xml:space="preserve">Webhook management page redesign + event log viewer page + Shopify workflow bridge (order webhook → workflow trigger)</t>
  </si>
  <si>
    <t xml:space="preserve">~61 files</t>
  </si>
  <si>
    <t xml:space="preserve">~17,000 lines</t>
  </si>
  <si>
    <t xml:space="preserve">Sprint 4.5 Task</t>
  </si>
  <si>
    <t xml:space="preserve">Files/Packages</t>
  </si>
  <si>
    <t xml:space="preserve">Competitive Benchmark</t>
  </si>
  <si>
    <t xml:space="preserve">Route Timeline Dispatcher Dashboard (Routific-quality)</t>
  </si>
  <si>
    <t xml:space="preserve">apps/dashboard/src/app/(dashboard)/dispatch/, packages/core/src/dispatch/</t>
  </si>
  <si>
    <t xml:space="preserve">Map with color-coded driver routes + timeline view (8am-7pm). Unscheduled/Scheduled toggle. Drag-and-drop route editing. Real-time stats bar (drivers, stops, km, time).</t>
  </si>
  <si>
    <t xml:space="preserve">Routific: 10 color-coded routes, 540 stops, timeline per driver</t>
  </si>
  <si>
    <t xml:space="preserve">Checkout Date/Time Picker Widget (Pickeasy-quality)</t>
  </si>
  <si>
    <t xml:space="preserve">packages/checkout-widget/, extensions/checkout-ui/</t>
  </si>
  <si>
    <t xml:space="preserve">Embeddable widget: date calendar, time slot grid with capacity indicators, zone-based rate display, blackout dates, cut-off times, zipcode validation, prep time settings.</t>
  </si>
  <si>
    <t xml:space="preserve">Pickeasy: 8K merchants, slot limits, blackout, zip validation, $9.99-49.99</t>
  </si>
  <si>
    <t xml:space="preserve">Frontend Dev</t>
  </si>
  <si>
    <t xml:space="preserve">apps/customer-portal/</t>
  </si>
  <si>
    <t xml:space="preserve">Next.js portal: order history with timeline, live tracking, rescheduling flow, delivery preferences (safe place, instructions), driver ratings, notification preferences.</t>
  </si>
  <si>
    <t xml:space="preserve">Route4Me: only platform with self-service portal. First-mover for open-source</t>
  </si>
  <si>
    <t xml:space="preserve">packages/core/src/slots/, apps/api/src/routes/checkout/</t>
  </si>
  <si>
    <t xml:space="preserve">Slot availability API, capacity limits per slot/day, zone-rate calculator, order deadline engine (e.g. Friday pickup by Thu 4pm), cart integration endpoints.</t>
  </si>
  <si>
    <t xml:space="preserve">Pickeasy: order deadlines, daily limits, product-specific slots</t>
  </si>
  <si>
    <t xml:space="preserve">POD v2: Photo + Signature + QR + Status Timeline</t>
  </si>
  <si>
    <t xml:space="preserve">packages/core/src/pod/, apps/api/src/routes/pod/</t>
  </si>
  <si>
    <t xml:space="preserve">Multi-method POD: photo capture, e-signature pad, QR/barcode scan. Delivery status timeline (Planned → Out for Delivery → Delivered + photo). S3/R2 storage.</t>
  </si>
  <si>
    <t xml:space="preserve">Routific: status timeline with photo. Fleetbase: QR+signature+manual</t>
  </si>
  <si>
    <t xml:space="preserve">Customer Notification Engine v2 + SMS/WhatsApp</t>
  </si>
  <si>
    <t xml:space="preserve">packages/core/src/notifications-v2/, apps/api/src/routes/notifications/</t>
  </si>
  <si>
    <t xml:space="preserve">Multi-channel: email + SMS (Twilio) + WhatsApp (Meta Business) + push. Template engine. SMS with tracking link + time window (Routific pattern). Delivery webhooks.</t>
  </si>
  <si>
    <t xml:space="preserve">Routific: SMS with tracking link + time window. ScrollEngine: WhatsApp</t>
  </si>
  <si>
    <t xml:space="preserve">packages/checkout-widget/src/, apps/dashboard/src/components/dispatch/</t>
  </si>
  <si>
    <t xml:space="preserve">Checkout: DatePicker, TimeSlotGrid, ZoneMap, DeliveryOptions, AddressAutocomplete. Dispatch: RouteTimeline, DriverCard, StopMarker, StatsBanner.</t>
  </si>
  <si>
    <t xml:space="preserve">Routific timeline + Pickeasy checkout as UX reference</t>
  </si>
  <si>
    <t xml:space="preserve">E2E: Dispatch, Checkout &amp; Customer Portal</t>
  </si>
  <si>
    <t xml:space="preserve">tests/e2e/specs/dispatch/, tests/e2e/specs/checkout/, tests/e2e/specs/portal/</t>
  </si>
  <si>
    <t xml:space="preserve">Playwright suites: dispatch timeline interaction, checkout widget slot selection, customer portal auth + reschedule, POD photo upload, SMS notification delivery.</t>
  </si>
  <si>
    <t xml:space="preserve">Full coverage for all Sprint 4.5 customer-facing features</t>
  </si>
  <si>
    <t xml:space="preserve">Shopify Checkout Extension + Google Maps/Calendar</t>
  </si>
  <si>
    <t xml:space="preserve">extensions/checkout-ui/, packages/core/src/integrations/google/</t>
  </si>
  <si>
    <t xml:space="preserve">Shopify checkout extension with embedded date/time widget. Google Maps for zone visualization. Google Calendar sync for merchant order reminders.</t>
  </si>
  <si>
    <t xml:space="preserve">Pickeasy: Google Maps + Calendar. Zapiet: Shopify certified</t>
  </si>
  <si>
    <t xml:space="preserve">Smart Slot Recommendation + ML ETA Engine</t>
  </si>
  <si>
    <t xml:space="preserve">packages/core/src/ai-slots/, packages/core/src/ai-eta/</t>
  </si>
  <si>
    <t xml:space="preserve">ML slot recommender: demand prediction, driver availability forecast. Traffic-aware ETA model (start with 3-5 models, target Routific's 179 as long-term goal).</t>
  </si>
  <si>
    <t xml:space="preserve">Routific: 179 ML models. Nobody has AI slot recommendation — first-mover</t>
  </si>
  <si>
    <t xml:space="preserve">THEME</t>
  </si>
  <si>
    <t xml:space="preserve">Sprint 4.5: Customer Experience &amp; Checkout Enhancement — Routific-quality dispatcher dashboard, Pickeasy-quality checkout widget, customer self-service portal, POD v2 with status timeline, SMS/WhatsApp notifications, AI slot recommendation engine.</t>
  </si>
  <si>
    <t xml:space="preserve">BENCHMARKS</t>
  </si>
  <si>
    <t xml:space="preserve">UX: Routific dispatcher timeline + driver app + POD flow + SMS tracking. Checkout: Pickeasy date/time picker + slot capacity + blackout + zip validation. Portal: Route4Me self-service. Notifications: Routific SMS + ScrollEngine WhatsApp.</t>
  </si>
</sst>
</file>

<file path=xl/styles.xml><?xml version="1.0" encoding="utf-8"?>
<styleSheet xmlns="http://schemas.openxmlformats.org/spreadsheetml/2006/main">
  <numFmts count="4">
    <numFmt numFmtId="164" formatCode="General"/>
    <numFmt numFmtId="165" formatCode="#,##0"/>
    <numFmt numFmtId="166" formatCode="0%"/>
    <numFmt numFmtId="167" formatCode="0.0%"/>
  </numFmts>
  <fonts count="69">
    <font>
      <sz val="11"/>
      <color theme="1"/>
      <name val="Calibri"/>
      <family val="2"/>
      <charset val="1"/>
    </font>
    <font>
      <sz val="10"/>
      <name val="Arial"/>
      <family val="0"/>
    </font>
    <font>
      <sz val="10"/>
      <name val="Arial"/>
      <family val="0"/>
    </font>
    <font>
      <sz val="10"/>
      <name val="Arial"/>
      <family val="0"/>
    </font>
    <font>
      <b val="true"/>
      <sz val="16"/>
      <color rgb="FFF5A623"/>
      <name val="Arial"/>
      <family val="0"/>
      <charset val="1"/>
    </font>
    <font>
      <sz val="11"/>
      <color rgb="FFA0A0A0"/>
      <name val="Arial"/>
      <family val="0"/>
      <charset val="1"/>
    </font>
    <font>
      <b val="true"/>
      <sz val="11"/>
      <color rgb="FFF5A623"/>
      <name val="Arial"/>
      <family val="0"/>
      <charset val="1"/>
    </font>
    <font>
      <b val="true"/>
      <sz val="10"/>
      <color rgb="FFFFFFFF"/>
      <name val="Arial"/>
      <family val="0"/>
      <charset val="1"/>
    </font>
    <font>
      <sz val="10"/>
      <color rgb="FFE0E0E0"/>
      <name val="Arial"/>
      <family val="0"/>
      <charset val="1"/>
    </font>
    <font>
      <b val="true"/>
      <sz val="11"/>
      <color rgb="FF60A5FA"/>
      <name val="Arial"/>
      <family val="0"/>
      <charset val="1"/>
    </font>
    <font>
      <b val="true"/>
      <sz val="11"/>
      <color rgb="FF818CF8"/>
      <name val="Arial"/>
      <family val="0"/>
      <charset val="1"/>
    </font>
    <font>
      <b val="true"/>
      <sz val="11"/>
      <color rgb="FF4ADE80"/>
      <name val="Arial"/>
      <family val="0"/>
      <charset val="1"/>
    </font>
    <font>
      <b val="true"/>
      <sz val="11"/>
      <color rgb="FF34D399"/>
      <name val="Arial"/>
      <family val="0"/>
      <charset val="1"/>
    </font>
    <font>
      <b val="true"/>
      <sz val="11"/>
      <color rgb="FFF472B6"/>
      <name val="Arial"/>
      <family val="0"/>
      <charset val="1"/>
    </font>
    <font>
      <b val="true"/>
      <sz val="11"/>
      <color rgb="FFFB923C"/>
      <name val="Arial"/>
      <family val="0"/>
      <charset val="1"/>
    </font>
    <font>
      <b val="true"/>
      <sz val="11"/>
      <color rgb="FFA78BFA"/>
      <name val="Arial"/>
      <family val="0"/>
      <charset val="1"/>
    </font>
    <font>
      <b val="true"/>
      <sz val="11"/>
      <color rgb="FFFACC15"/>
      <name val="Arial"/>
      <family val="0"/>
      <charset val="1"/>
    </font>
    <font>
      <b val="true"/>
      <sz val="14"/>
      <color rgb="FFF5A623"/>
      <name val="Arial"/>
      <family val="0"/>
      <charset val="1"/>
    </font>
    <font>
      <b val="true"/>
      <sz val="18"/>
      <color rgb="FFF5A623"/>
      <name val="Arial"/>
      <family val="0"/>
      <charset val="1"/>
    </font>
    <font>
      <b val="true"/>
      <sz val="11"/>
      <color rgb="FFFFFFFF"/>
      <name val="Arial"/>
      <family val="0"/>
      <charset val="1"/>
    </font>
    <font>
      <sz val="10"/>
      <name val="Arial"/>
      <family val="0"/>
      <charset val="1"/>
    </font>
    <font>
      <b val="true"/>
      <sz val="10"/>
      <name val="Arial"/>
      <family val="0"/>
      <charset val="1"/>
    </font>
    <font>
      <b val="true"/>
      <sz val="12"/>
      <color rgb="FFE63946"/>
      <name val="Arial"/>
      <family val="0"/>
      <charset val="1"/>
    </font>
    <font>
      <sz val="10"/>
      <color rgb="FFFACC15"/>
      <name val="Arial"/>
      <family val="0"/>
      <charset val="1"/>
    </font>
    <font>
      <sz val="10"/>
      <color rgb="FFF87171"/>
      <name val="Arial"/>
      <family val="0"/>
      <charset val="1"/>
    </font>
    <font>
      <sz val="14"/>
      <color rgb="FF666666"/>
      <name val="Arial"/>
      <family val="0"/>
      <charset val="1"/>
    </font>
    <font>
      <b val="true"/>
      <sz val="10"/>
      <color rgb="FF60A5FA"/>
      <name val="Arial"/>
      <family val="0"/>
      <charset val="1"/>
    </font>
    <font>
      <sz val="10"/>
      <color rgb="FF888888"/>
      <name val="Arial"/>
      <family val="0"/>
      <charset val="1"/>
    </font>
    <font>
      <b val="true"/>
      <sz val="10"/>
      <color rgb="FFF5A623"/>
      <name val="Arial"/>
      <family val="0"/>
      <charset val="1"/>
    </font>
    <font>
      <sz val="10"/>
      <color rgb="FF60A5FA"/>
      <name val="Arial"/>
      <family val="0"/>
      <charset val="1"/>
    </font>
    <font>
      <b val="true"/>
      <sz val="10"/>
      <color rgb="FFF472B6"/>
      <name val="Arial"/>
      <family val="0"/>
      <charset val="1"/>
    </font>
    <font>
      <sz val="10"/>
      <color rgb="FF4ADE80"/>
      <name val="Arial"/>
      <family val="0"/>
      <charset val="1"/>
    </font>
    <font>
      <sz val="14"/>
      <color rgb="FF4ADE80"/>
      <name val="Arial"/>
      <family val="0"/>
      <charset val="1"/>
    </font>
    <font>
      <sz val="10"/>
      <color rgb="FF666666"/>
      <name val="Arial"/>
      <family val="0"/>
      <charset val="1"/>
    </font>
    <font>
      <b val="true"/>
      <sz val="10"/>
      <color rgb="FF818CF8"/>
      <name val="Arial"/>
      <family val="0"/>
      <charset val="1"/>
    </font>
    <font>
      <sz val="11"/>
      <color rgb="FF006100"/>
      <name val="Cambria"/>
      <family val="0"/>
      <charset val="1"/>
    </font>
    <font>
      <b val="true"/>
      <sz val="10"/>
      <color rgb="FFFB923C"/>
      <name val="Arial"/>
      <family val="0"/>
      <charset val="1"/>
    </font>
    <font>
      <b val="true"/>
      <sz val="10"/>
      <color rgb="FF4ADE80"/>
      <name val="Arial"/>
      <family val="0"/>
      <charset val="1"/>
    </font>
    <font>
      <b val="true"/>
      <sz val="11"/>
      <color rgb="FFE67E22"/>
      <name val="Calibri"/>
      <family val="0"/>
      <charset val="1"/>
    </font>
    <font>
      <b val="true"/>
      <sz val="10"/>
      <color rgb="FF34D399"/>
      <name val="Arial"/>
      <family val="0"/>
      <charset val="1"/>
    </font>
    <font>
      <b val="true"/>
      <sz val="12"/>
      <name val="Arial"/>
      <family val="0"/>
      <charset val="1"/>
    </font>
    <font>
      <sz val="10"/>
      <color rgb="FFCCCCCC"/>
      <name val="Arial"/>
      <family val="0"/>
      <charset val="1"/>
    </font>
    <font>
      <b val="true"/>
      <sz val="10"/>
      <color rgb="FFA78BFA"/>
      <name val="Arial"/>
      <family val="0"/>
      <charset val="1"/>
    </font>
    <font>
      <sz val="10"/>
      <color rgb="FFA78BFA"/>
      <name val="Arial"/>
      <family val="0"/>
      <charset val="1"/>
    </font>
    <font>
      <sz val="10"/>
      <color rgb="FFFB923C"/>
      <name val="Arial"/>
      <family val="0"/>
      <charset val="1"/>
    </font>
    <font>
      <b val="true"/>
      <sz val="12"/>
      <color rgb="FF1B2A4A"/>
      <name val="Arial"/>
      <family val="0"/>
      <charset val="1"/>
    </font>
    <font>
      <b val="true"/>
      <sz val="11"/>
      <color rgb="FFFFFFFF"/>
      <name val="Cambria"/>
      <family val="0"/>
      <charset val="1"/>
    </font>
    <font>
      <b val="true"/>
      <sz val="11"/>
      <name val="Cambria"/>
      <family val="0"/>
      <charset val="1"/>
    </font>
    <font>
      <b val="true"/>
      <sz val="10"/>
      <name val="Cambria"/>
      <family val="0"/>
      <charset val="1"/>
    </font>
    <font>
      <b val="true"/>
      <sz val="11"/>
      <color rgb="FFFFFFFF"/>
      <name val="Calibri"/>
      <family val="0"/>
      <charset val="1"/>
    </font>
    <font>
      <b val="true"/>
      <sz val="11"/>
      <name val="Arial"/>
      <family val="0"/>
      <charset val="1"/>
    </font>
    <font>
      <b val="true"/>
      <sz val="10"/>
      <color rgb="FFFFFFFF"/>
      <name val="Cambria"/>
      <family val="0"/>
      <charset val="1"/>
    </font>
    <font>
      <b val="true"/>
      <sz val="12"/>
      <name val="Cambria"/>
      <family val="0"/>
      <charset val="1"/>
    </font>
    <font>
      <b val="true"/>
      <sz val="9"/>
      <name val="Cambria"/>
      <family val="0"/>
      <charset val="1"/>
    </font>
    <font>
      <b val="true"/>
      <sz val="12"/>
      <color rgb="FF4472C4"/>
      <name val="Calibri"/>
      <family val="0"/>
      <charset val="1"/>
    </font>
    <font>
      <b val="true"/>
      <sz val="10"/>
      <name val="Calibri"/>
      <family val="0"/>
      <charset val="1"/>
    </font>
    <font>
      <sz val="11"/>
      <color rgb="FF228B22"/>
      <name val="Calibri"/>
      <family val="0"/>
      <charset val="1"/>
    </font>
    <font>
      <b val="true"/>
      <sz val="12"/>
      <color rgb="FFFFFFFF"/>
      <name val="Cambria"/>
      <family val="0"/>
      <charset val="1"/>
    </font>
    <font>
      <b val="true"/>
      <sz val="14"/>
      <name val="Cambria"/>
      <family val="0"/>
      <charset val="1"/>
    </font>
    <font>
      <i val="true"/>
      <sz val="11"/>
      <color rgb="FF666666"/>
      <name val="Cambria"/>
      <family val="0"/>
      <charset val="1"/>
    </font>
    <font>
      <b val="true"/>
      <sz val="12"/>
      <color rgb="FF333399"/>
      <name val="Cambria"/>
      <family val="0"/>
      <charset val="1"/>
    </font>
    <font>
      <sz val="10"/>
      <name val="Cambria"/>
      <family val="0"/>
      <charset val="1"/>
    </font>
    <font>
      <sz val="11"/>
      <color rgb="FFFF8C00"/>
      <name val="Cambria"/>
      <family val="0"/>
      <charset val="1"/>
    </font>
    <font>
      <b val="true"/>
      <sz val="14"/>
      <color rgb="FFFFFFFF"/>
      <name val="Cambria"/>
      <family val="0"/>
      <charset val="1"/>
    </font>
    <font>
      <i val="true"/>
      <sz val="10"/>
      <color rgb="FFCCCCCC"/>
      <name val="Cambria"/>
      <family val="0"/>
      <charset val="1"/>
    </font>
    <font>
      <b val="true"/>
      <sz val="14"/>
      <color rgb="FFFFFFFF"/>
      <name val="Arial"/>
      <family val="0"/>
      <charset val="1"/>
    </font>
    <font>
      <i val="true"/>
      <sz val="10"/>
      <color rgb="FF888888"/>
      <name val="Arial"/>
      <family val="0"/>
      <charset val="1"/>
    </font>
    <font>
      <b val="true"/>
      <sz val="12"/>
      <color rgb="FFE63946"/>
      <name val="Cambria"/>
      <family val="0"/>
      <charset val="1"/>
    </font>
    <font>
      <b val="true"/>
      <sz val="11"/>
      <color rgb="FF0F3460"/>
      <name val="Cambria"/>
      <family val="0"/>
      <charset val="1"/>
    </font>
  </fonts>
  <fills count="37">
    <fill>
      <patternFill patternType="none"/>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DBEAFE"/>
        <bgColor rgb="FFDCEAFB"/>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83E1C"/>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9D9D9"/>
        <bgColor rgb="FFE0E0E0"/>
      </patternFill>
    </fill>
    <fill>
      <patternFill patternType="solid">
        <fgColor rgb="FFD9E2F3"/>
        <bgColor rgb="FFDCEAFB"/>
      </patternFill>
    </fill>
    <fill>
      <patternFill patternType="solid">
        <fgColor rgb="FF7030A0"/>
        <bgColor rgb="FF3B3B64"/>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3B3B64"/>
      </patternFill>
    </fill>
    <fill>
      <patternFill patternType="solid">
        <fgColor rgb="FFE74C3C"/>
        <bgColor rgb="FFE63946"/>
      </patternFill>
    </fill>
    <fill>
      <patternFill patternType="solid">
        <fgColor rgb="FF922B21"/>
        <bgColor rgb="FF7030A0"/>
      </patternFill>
    </fill>
    <fill>
      <patternFill patternType="solid">
        <fgColor rgb="FF0F3460"/>
        <bgColor rgb="FF1B2A4A"/>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s>
  <borders count="4">
    <border diagonalUp="false" diagonalDown="false">
      <left/>
      <right/>
      <top/>
      <bottom/>
      <diagonal/>
    </border>
    <border diagonalUp="false" diagonalDown="false">
      <left/>
      <right/>
      <top/>
      <bottom style="thin">
        <color rgb="FF2D2D44"/>
      </bottom>
      <diagonal/>
    </border>
    <border diagonalUp="false" diagonalDown="false">
      <left style="thin"/>
      <right style="thin"/>
      <top style="thin"/>
      <bottom style="thin"/>
      <diagonal/>
    </border>
    <border diagonalUp="false" diagonalDown="false">
      <left style="thin">
        <color rgb="FF3B3B64"/>
      </left>
      <right style="thin">
        <color rgb="FF3B3B64"/>
      </right>
      <top style="thin">
        <color rgb="FF3B3B64"/>
      </top>
      <bottom style="thin">
        <color rgb="FF3B3B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general" vertical="center"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16" fillId="4"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2" borderId="0" xfId="0" applyFont="true" applyBorder="true" applyAlignment="true" applyProtection="false">
      <alignment horizontal="center" vertical="center" textRotation="0" wrapText="false" indent="0" shrinkToFit="false"/>
      <protection locked="true" hidden="false"/>
    </xf>
    <xf numFmtId="164" fontId="19" fillId="6" borderId="2" xfId="0" applyFont="true" applyBorder="true" applyAlignment="true" applyProtection="false">
      <alignment horizontal="center" vertical="bottom" textRotation="0" wrapText="true" indent="0" shrinkToFit="false"/>
      <protection locked="true" hidden="false"/>
    </xf>
    <xf numFmtId="164" fontId="20" fillId="0" borderId="2" xfId="0" applyFont="true" applyBorder="true" applyAlignment="true" applyProtection="false">
      <alignment horizontal="general" vertical="top" textRotation="0" wrapText="true" indent="0" shrinkToFit="false"/>
      <protection locked="true" hidden="false"/>
    </xf>
    <xf numFmtId="164" fontId="21" fillId="7" borderId="2" xfId="0" applyFont="true" applyBorder="true" applyAlignment="true" applyProtection="false">
      <alignment horizontal="general" vertical="top" textRotation="0" wrapText="true" indent="0" shrinkToFit="false"/>
      <protection locked="true" hidden="false"/>
    </xf>
    <xf numFmtId="164" fontId="21" fillId="8" borderId="2" xfId="0" applyFont="true" applyBorder="true" applyAlignment="true" applyProtection="false">
      <alignment horizontal="general" vertical="top" textRotation="0" wrapText="true" indent="0" shrinkToFit="false"/>
      <protection locked="true" hidden="false"/>
    </xf>
    <xf numFmtId="164" fontId="21" fillId="9" borderId="2" xfId="0" applyFont="true" applyBorder="true" applyAlignment="true" applyProtection="false">
      <alignment horizontal="general" vertical="top" textRotation="0" wrapText="true" indent="0" shrinkToFit="false"/>
      <protection locked="true" hidden="false"/>
    </xf>
    <xf numFmtId="164" fontId="21" fillId="10" borderId="2" xfId="0" applyFont="true" applyBorder="true" applyAlignment="true" applyProtection="false">
      <alignment horizontal="general" vertical="top" textRotation="0" wrapText="tru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8" fillId="11" borderId="1" xfId="0" applyFont="true" applyBorder="true" applyAlignment="true" applyProtection="false">
      <alignment horizontal="general" vertical="center" textRotation="0" wrapText="true" indent="0" shrinkToFit="false"/>
      <protection locked="true" hidden="false"/>
    </xf>
    <xf numFmtId="164" fontId="23" fillId="11" borderId="1" xfId="0" applyFont="true" applyBorder="true" applyAlignment="true" applyProtection="false">
      <alignment horizontal="general" vertical="center" textRotation="0" wrapText="true" indent="0" shrinkToFit="false"/>
      <protection locked="true" hidden="false"/>
    </xf>
    <xf numFmtId="164" fontId="24" fillId="11" borderId="1" xfId="0" applyFont="true" applyBorder="true" applyAlignment="true" applyProtection="false">
      <alignment horizontal="general" vertical="center" textRotation="0" wrapText="true" indent="0" shrinkToFit="false"/>
      <protection locked="true" hidden="false"/>
    </xf>
    <xf numFmtId="164" fontId="25" fillId="11" borderId="1" xfId="0" applyFont="true" applyBorder="true" applyAlignment="true" applyProtection="false">
      <alignment horizontal="center" vertical="center" textRotation="0" wrapText="false" indent="0" shrinkToFit="false"/>
      <protection locked="true" hidden="false"/>
    </xf>
    <xf numFmtId="164" fontId="26" fillId="11" borderId="1" xfId="0" applyFont="true" applyBorder="true" applyAlignment="true" applyProtection="false">
      <alignment horizontal="center" vertical="center" textRotation="0" wrapText="false" indent="0" shrinkToFit="false"/>
      <protection locked="true" hidden="false"/>
    </xf>
    <xf numFmtId="164" fontId="8" fillId="11" borderId="1" xfId="0" applyFont="true" applyBorder="true" applyAlignment="true" applyProtection="false">
      <alignment horizontal="center" vertical="center" textRotation="0" wrapText="false" indent="0" shrinkToFit="false"/>
      <protection locked="true" hidden="false"/>
    </xf>
    <xf numFmtId="164" fontId="23" fillId="11" borderId="1" xfId="0" applyFont="true" applyBorder="true" applyAlignment="true" applyProtection="false">
      <alignment horizontal="center" vertical="center" textRotation="0" wrapText="false" indent="0" shrinkToFit="false"/>
      <protection locked="true" hidden="false"/>
    </xf>
    <xf numFmtId="164" fontId="27" fillId="11" borderId="1" xfId="0" applyFont="true" applyBorder="true" applyAlignment="true" applyProtection="false">
      <alignment horizontal="center" vertical="center" textRotation="0" wrapText="false" indent="0" shrinkToFit="false"/>
      <protection locked="true" hidden="false"/>
    </xf>
    <xf numFmtId="164" fontId="24" fillId="12" borderId="1" xfId="0" applyFont="true" applyBorder="true" applyAlignment="true" applyProtection="false">
      <alignment horizontal="general" vertical="center" textRotation="0" wrapText="true" indent="0" shrinkToFit="false"/>
      <protection locked="true" hidden="false"/>
    </xf>
    <xf numFmtId="164" fontId="24" fillId="4" borderId="1" xfId="0" applyFont="true" applyBorder="true" applyAlignment="true" applyProtection="false">
      <alignment horizontal="general" vertical="center" textRotation="0" wrapText="true" indent="0" shrinkToFit="false"/>
      <protection locked="true" hidden="false"/>
    </xf>
    <xf numFmtId="164" fontId="25" fillId="13" borderId="1" xfId="0" applyFont="true" applyBorder="true" applyAlignment="true" applyProtection="false">
      <alignment horizontal="center" vertical="center" textRotation="0" wrapText="false" indent="0" shrinkToFit="false"/>
      <protection locked="true" hidden="false"/>
    </xf>
    <xf numFmtId="164" fontId="26" fillId="4" borderId="1" xfId="0" applyFont="true" applyBorder="true" applyAlignment="true" applyProtection="false">
      <alignment horizontal="center" vertical="center"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28" fillId="11"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general" vertical="center" textRotation="0" wrapText="true" indent="0" shrinkToFit="false"/>
      <protection locked="true" hidden="false"/>
    </xf>
    <xf numFmtId="164" fontId="28" fillId="5" borderId="1" xfId="0" applyFont="true" applyBorder="true" applyAlignment="true" applyProtection="false">
      <alignment horizontal="center" vertical="center" textRotation="0" wrapText="false" indent="0" shrinkToFit="false"/>
      <protection locked="true" hidden="false"/>
    </xf>
    <xf numFmtId="164" fontId="27" fillId="5" borderId="1" xfId="0" applyFont="true" applyBorder="true" applyAlignment="true" applyProtection="false">
      <alignment horizontal="center" vertical="center" textRotation="0" wrapText="false" indent="0" shrinkToFit="false"/>
      <protection locked="true" hidden="false"/>
    </xf>
    <xf numFmtId="164" fontId="29" fillId="11" borderId="1" xfId="0" applyFont="true" applyBorder="true" applyAlignment="true" applyProtection="false">
      <alignment horizontal="general" vertical="center" textRotation="0" wrapText="true" indent="0" shrinkToFit="false"/>
      <protection locked="true" hidden="false"/>
    </xf>
    <xf numFmtId="164" fontId="30" fillId="11" borderId="1" xfId="0" applyFont="true" applyBorder="true" applyAlignment="true" applyProtection="false">
      <alignment horizontal="center" vertical="center" textRotation="0" wrapText="false" indent="0" shrinkToFit="false"/>
      <protection locked="true" hidden="false"/>
    </xf>
    <xf numFmtId="164" fontId="31" fillId="14" borderId="1" xfId="0" applyFont="true" applyBorder="true" applyAlignment="true" applyProtection="false">
      <alignment horizontal="general" vertical="center" textRotation="0" wrapText="true" indent="0" shrinkToFit="false"/>
      <protection locked="true" hidden="false"/>
    </xf>
    <xf numFmtId="164" fontId="32" fillId="13" borderId="1" xfId="0" applyFont="true" applyBorder="true" applyAlignment="true" applyProtection="false">
      <alignment horizontal="center"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1" fillId="14" borderId="1" xfId="0" applyFont="true" applyBorder="true" applyAlignment="true" applyProtection="false">
      <alignment horizontal="center" vertical="center" textRotation="0" wrapText="false" indent="0" shrinkToFit="false"/>
      <protection locked="true" hidden="false"/>
    </xf>
    <xf numFmtId="164" fontId="34" fillId="4" borderId="1" xfId="0" applyFont="true" applyBorder="true" applyAlignment="true" applyProtection="false">
      <alignment horizontal="center" vertical="center" textRotation="0" wrapText="false" indent="0" shrinkToFit="false"/>
      <protection locked="true" hidden="false"/>
    </xf>
    <xf numFmtId="164" fontId="35" fillId="11"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general" vertical="center" textRotation="0" wrapText="tru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64" fontId="34" fillId="11"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general" vertical="center" textRotation="0" wrapText="tru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4" fontId="29" fillId="5" borderId="1" xfId="0" applyFont="true" applyBorder="true" applyAlignment="true" applyProtection="false">
      <alignment horizontal="general" vertical="center" textRotation="0" wrapText="true" indent="0" shrinkToFit="false"/>
      <protection locked="true" hidden="false"/>
    </xf>
    <xf numFmtId="164" fontId="30" fillId="5"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general" vertical="center" textRotation="0" wrapText="true" indent="0" shrinkToFit="false"/>
      <protection locked="true" hidden="false"/>
    </xf>
    <xf numFmtId="164" fontId="36" fillId="4" borderId="1" xfId="0" applyFont="true" applyBorder="true" applyAlignment="true" applyProtection="false">
      <alignment horizontal="center" vertical="center" textRotation="0" wrapText="false" indent="0" shrinkToFit="false"/>
      <protection locked="true" hidden="false"/>
    </xf>
    <xf numFmtId="164" fontId="36" fillId="5" borderId="1" xfId="0" applyFont="true" applyBorder="true" applyAlignment="true" applyProtection="false">
      <alignment horizontal="center" vertical="center" textRotation="0" wrapText="false" indent="0" shrinkToFit="false"/>
      <protection locked="true" hidden="false"/>
    </xf>
    <xf numFmtId="164" fontId="36" fillId="11" borderId="1" xfId="0" applyFont="true" applyBorder="true" applyAlignment="true" applyProtection="false">
      <alignment horizontal="center" vertical="center" textRotation="0" wrapText="false" indent="0" shrinkToFit="false"/>
      <protection locked="true" hidden="false"/>
    </xf>
    <xf numFmtId="164" fontId="26" fillId="5" borderId="1" xfId="0" applyFont="true" applyBorder="true" applyAlignment="true" applyProtection="false">
      <alignment horizontal="center" vertical="center" textRotation="0" wrapText="false" indent="0" shrinkToFit="false"/>
      <protection locked="true" hidden="false"/>
    </xf>
    <xf numFmtId="164" fontId="37" fillId="5" borderId="1" xfId="0" applyFont="true" applyBorder="true" applyAlignment="true" applyProtection="false">
      <alignment horizontal="center" vertical="center"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7" fillId="11" borderId="1" xfId="0" applyFont="true" applyBorder="true" applyAlignment="true" applyProtection="false">
      <alignment horizontal="center" vertical="center" textRotation="0" wrapText="false" indent="0" shrinkToFit="false"/>
      <protection locked="true" hidden="false"/>
    </xf>
    <xf numFmtId="164" fontId="39" fillId="11" borderId="1" xfId="0" applyFont="true" applyBorder="true" applyAlignment="true" applyProtection="false">
      <alignment horizontal="center" vertical="center" textRotation="0" wrapText="false" indent="0" shrinkToFit="false"/>
      <protection locked="true" hidden="false"/>
    </xf>
    <xf numFmtId="164" fontId="39" fillId="5" borderId="1" xfId="0" applyFont="true" applyBorder="true" applyAlignment="true" applyProtection="false">
      <alignment horizontal="center" vertical="center" textRotation="0" wrapText="false" indent="0" shrinkToFit="false"/>
      <protection locked="true" hidden="false"/>
    </xf>
    <xf numFmtId="164" fontId="39" fillId="4" borderId="1" xfId="0" applyFont="true" applyBorder="true" applyAlignment="true" applyProtection="false">
      <alignment horizontal="center" vertical="center" textRotation="0" wrapText="false" indent="0" shrinkToFit="false"/>
      <protection locked="true" hidden="false"/>
    </xf>
    <xf numFmtId="164" fontId="37" fillId="4" borderId="1" xfId="0" applyFont="true" applyBorder="true" applyAlignment="true" applyProtection="false">
      <alignment horizontal="center" vertical="center" textRotation="0" wrapText="false" indent="0" shrinkToFit="false"/>
      <protection locked="true" hidden="false"/>
    </xf>
    <xf numFmtId="164" fontId="0" fillId="11" borderId="0" xfId="0" applyFont="true" applyBorder="false" applyAlignment="true" applyProtection="false">
      <alignment horizontal="general" vertical="bottom" textRotation="0" wrapText="false" indent="0" shrinkToFit="false"/>
      <protection locked="true" hidden="false"/>
    </xf>
    <xf numFmtId="164" fontId="40" fillId="15" borderId="3" xfId="0" applyFont="true" applyBorder="true" applyAlignment="true" applyProtection="false">
      <alignment horizontal="general" vertical="bottom" textRotation="0" wrapText="false" indent="0" shrinkToFit="false"/>
      <protection locked="true" hidden="false"/>
    </xf>
    <xf numFmtId="164" fontId="0" fillId="15" borderId="3" xfId="0" applyFont="false" applyBorder="true" applyAlignment="true" applyProtection="false">
      <alignment horizontal="general" vertical="bottom" textRotation="0" wrapText="false" indent="0" shrinkToFit="false"/>
      <protection locked="true" hidden="false"/>
    </xf>
    <xf numFmtId="164" fontId="41" fillId="0" borderId="3" xfId="0" applyFont="true" applyBorder="true" applyAlignment="true" applyProtection="false">
      <alignment horizontal="general" vertical="bottom" textRotation="0" wrapText="false" indent="0" shrinkToFit="false"/>
      <protection locked="true" hidden="false"/>
    </xf>
    <xf numFmtId="164" fontId="42" fillId="4" borderId="1" xfId="0" applyFont="true" applyBorder="true" applyAlignment="true" applyProtection="false">
      <alignment horizontal="center" vertical="center" textRotation="0" wrapText="false" indent="0" shrinkToFit="false"/>
      <protection locked="true" hidden="false"/>
    </xf>
    <xf numFmtId="164" fontId="33" fillId="4" borderId="1" xfId="0" applyFont="true" applyBorder="true" applyAlignment="true" applyProtection="false">
      <alignment horizontal="center" vertical="center" textRotation="0" wrapText="false" indent="0" shrinkToFit="false"/>
      <protection locked="true" hidden="false"/>
    </xf>
    <xf numFmtId="164" fontId="42" fillId="11" borderId="1" xfId="0" applyFont="true" applyBorder="true" applyAlignment="true" applyProtection="false">
      <alignment horizontal="center" vertical="center" textRotation="0" wrapText="false" indent="0" shrinkToFit="false"/>
      <protection locked="true" hidden="false"/>
    </xf>
    <xf numFmtId="164" fontId="23" fillId="16" borderId="1" xfId="0" applyFont="true" applyBorder="true" applyAlignment="true" applyProtection="false">
      <alignment horizontal="general" vertical="center" textRotation="0" wrapText="true" indent="0" shrinkToFit="false"/>
      <protection locked="true" hidden="false"/>
    </xf>
    <xf numFmtId="164" fontId="42" fillId="5" borderId="1" xfId="0" applyFont="true" applyBorder="true" applyAlignment="true" applyProtection="false">
      <alignment horizontal="center" vertical="center" textRotation="0" wrapText="false" indent="0" shrinkToFit="false"/>
      <protection locked="true" hidden="false"/>
    </xf>
    <xf numFmtId="164" fontId="43" fillId="11" borderId="1" xfId="0" applyFont="true" applyBorder="true" applyAlignment="true" applyProtection="false">
      <alignment horizontal="general" vertical="center" textRotation="0" wrapText="true" indent="0" shrinkToFit="false"/>
      <protection locked="true" hidden="false"/>
    </xf>
    <xf numFmtId="164" fontId="43" fillId="17" borderId="1" xfId="0" applyFont="true" applyBorder="true" applyAlignment="true" applyProtection="false">
      <alignment horizontal="general" vertical="center" textRotation="0" wrapText="true" indent="0" shrinkToFit="false"/>
      <protection locked="true" hidden="false"/>
    </xf>
    <xf numFmtId="164" fontId="8" fillId="17" borderId="1" xfId="0" applyFont="true" applyBorder="true" applyAlignment="true" applyProtection="false">
      <alignment horizontal="general" vertical="center" textRotation="0" wrapText="true" indent="0" shrinkToFit="false"/>
      <protection locked="true" hidden="false"/>
    </xf>
    <xf numFmtId="164" fontId="25" fillId="17" borderId="1" xfId="0" applyFont="true" applyBorder="true" applyAlignment="true" applyProtection="false">
      <alignment horizontal="center" vertical="center" textRotation="0" wrapText="false" indent="0" shrinkToFit="false"/>
      <protection locked="true" hidden="false"/>
    </xf>
    <xf numFmtId="164" fontId="36" fillId="17" borderId="1" xfId="0" applyFont="true" applyBorder="true" applyAlignment="true" applyProtection="false">
      <alignment horizontal="center" vertical="center" textRotation="0" wrapText="false" indent="0" shrinkToFit="false"/>
      <protection locked="true" hidden="false"/>
    </xf>
    <xf numFmtId="164" fontId="8" fillId="17" borderId="1" xfId="0" applyFont="true" applyBorder="true" applyAlignment="true" applyProtection="false">
      <alignment horizontal="center" vertical="center" textRotation="0" wrapText="false" indent="0" shrinkToFit="false"/>
      <protection locked="true" hidden="false"/>
    </xf>
    <xf numFmtId="164" fontId="43" fillId="5" borderId="1" xfId="0" applyFont="true" applyBorder="true" applyAlignment="true" applyProtection="false">
      <alignment horizontal="general" vertical="center" textRotation="0" wrapText="true" indent="0" shrinkToFit="false"/>
      <protection locked="true" hidden="false"/>
    </xf>
    <xf numFmtId="164" fontId="43" fillId="4" borderId="1" xfId="0" applyFont="true" applyBorder="true" applyAlignment="true" applyProtection="false">
      <alignment horizontal="general" vertical="center" textRotation="0" wrapText="true" indent="0" shrinkToFit="false"/>
      <protection locked="true" hidden="false"/>
    </xf>
    <xf numFmtId="164" fontId="31" fillId="11" borderId="1" xfId="0" applyFont="true" applyBorder="true" applyAlignment="true" applyProtection="false">
      <alignment horizontal="general" vertical="center" textRotation="0" wrapText="true" indent="0" shrinkToFit="false"/>
      <protection locked="true" hidden="false"/>
    </xf>
    <xf numFmtId="164" fontId="31" fillId="4" borderId="1" xfId="0" applyFont="true" applyBorder="true" applyAlignment="true" applyProtection="false">
      <alignment horizontal="general" vertical="center" textRotation="0" wrapText="true" indent="0" shrinkToFit="false"/>
      <protection locked="true" hidden="false"/>
    </xf>
    <xf numFmtId="164" fontId="44" fillId="5" borderId="1" xfId="0" applyFont="true" applyBorder="true" applyAlignment="true" applyProtection="false">
      <alignment horizontal="general" vertical="center" textRotation="0" wrapText="true" indent="0" shrinkToFit="false"/>
      <protection locked="true" hidden="false"/>
    </xf>
    <xf numFmtId="164" fontId="44" fillId="4" borderId="1" xfId="0" applyFont="true" applyBorder="true" applyAlignment="true" applyProtection="false">
      <alignment horizontal="general" vertical="center" textRotation="0" wrapText="true" indent="0" shrinkToFit="false"/>
      <protection locked="true" hidden="false"/>
    </xf>
    <xf numFmtId="164" fontId="45" fillId="0" borderId="0" xfId="0" applyFont="true" applyBorder="true" applyAlignment="false" applyProtection="false">
      <alignment horizontal="general" vertical="bottom" textRotation="0" wrapText="false" indent="0" shrinkToFit="false"/>
      <protection locked="true" hidden="false"/>
    </xf>
    <xf numFmtId="164" fontId="46" fillId="6"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7" fillId="4" borderId="1" xfId="0" applyFont="true" applyBorder="true" applyAlignment="true" applyProtection="false">
      <alignment horizontal="general" vertical="center" textRotation="0" wrapText="tru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48" fillId="18" borderId="0" xfId="0" applyFont="true" applyBorder="false" applyAlignment="true" applyProtection="false">
      <alignment horizontal="center" vertical="bottom" textRotation="0" wrapText="false" indent="0" shrinkToFit="false"/>
      <protection locked="true" hidden="false"/>
    </xf>
    <xf numFmtId="164" fontId="49" fillId="19" borderId="0" xfId="0" applyFont="true" applyBorder="false" applyAlignment="true" applyProtection="false">
      <alignment horizontal="center" vertical="bottom" textRotation="0" wrapText="false" indent="0" shrinkToFit="false"/>
      <protection locked="true" hidden="false"/>
    </xf>
    <xf numFmtId="164" fontId="50" fillId="20" borderId="3" xfId="0" applyFont="true" applyBorder="true" applyAlignment="true" applyProtection="false">
      <alignment horizontal="center" vertical="bottom" textRotation="0" wrapText="false" indent="0" shrinkToFit="false"/>
      <protection locked="true" hidden="false"/>
    </xf>
    <xf numFmtId="164" fontId="47" fillId="0" borderId="0" xfId="0" applyFont="true" applyBorder="false" applyAlignment="true" applyProtection="false">
      <alignment horizontal="center" vertical="bottom" textRotation="0" wrapText="false" indent="0" shrinkToFit="false"/>
      <protection locked="true" hidden="false"/>
    </xf>
    <xf numFmtId="164" fontId="48" fillId="0" borderId="0" xfId="0" applyFont="true" applyBorder="false" applyAlignment="true" applyProtection="false">
      <alignment horizontal="center" vertical="bottom" textRotation="0" wrapText="false" indent="0" shrinkToFit="false"/>
      <protection locked="true" hidden="false"/>
    </xf>
    <xf numFmtId="164" fontId="51" fillId="0" borderId="0" xfId="0" applyFont="true" applyBorder="false" applyAlignment="true" applyProtection="false">
      <alignment horizontal="center" vertical="bottom" textRotation="0" wrapText="false" indent="0" shrinkToFit="false"/>
      <protection locked="true" hidden="false"/>
    </xf>
    <xf numFmtId="164" fontId="47" fillId="9"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65" fontId="41" fillId="0" borderId="3" xfId="0" applyFont="tru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52" fillId="4" borderId="1" xfId="0" applyFont="true" applyBorder="true" applyAlignment="true" applyProtection="false">
      <alignment horizontal="general" vertical="center" textRotation="0" wrapText="true" indent="0" shrinkToFit="false"/>
      <protection locked="true" hidden="false"/>
    </xf>
    <xf numFmtId="164" fontId="35" fillId="11" borderId="1" xfId="0" applyFont="true" applyBorder="true" applyAlignment="true" applyProtection="false">
      <alignment horizontal="general" vertical="center" textRotation="0" wrapText="true" indent="0" shrinkToFit="false"/>
      <protection locked="true" hidden="false"/>
    </xf>
    <xf numFmtId="164" fontId="35" fillId="11" borderId="0" xfId="0" applyFont="true" applyBorder="false" applyAlignment="true" applyProtection="false">
      <alignment horizontal="general" vertical="bottom" textRotation="0" wrapText="false" indent="0" shrinkToFit="false"/>
      <protection locked="true" hidden="false"/>
    </xf>
    <xf numFmtId="164" fontId="35" fillId="11" borderId="1" xfId="0" applyFont="true" applyBorder="true" applyAlignment="true" applyProtection="false">
      <alignment horizontal="center" vertical="center" textRotation="0" wrapText="tru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center" vertical="center"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47" fillId="4" borderId="1" xfId="0" applyFont="true" applyBorder="true" applyAlignment="true" applyProtection="false">
      <alignment horizontal="center" vertical="center" textRotation="0" wrapText="false" indent="0" shrinkToFit="false"/>
      <protection locked="true" hidden="false"/>
    </xf>
    <xf numFmtId="164" fontId="31" fillId="4" borderId="1" xfId="0" applyFont="true" applyBorder="true" applyAlignment="true" applyProtection="false">
      <alignment horizontal="center" vertical="center" textRotation="0" wrapText="false" indent="0" shrinkToFit="false"/>
      <protection locked="true" hidden="false"/>
    </xf>
    <xf numFmtId="164" fontId="52" fillId="5" borderId="1" xfId="0" applyFont="true" applyBorder="true" applyAlignment="true" applyProtection="false">
      <alignment horizontal="center" vertical="center" textRotation="0" wrapText="false" indent="0" shrinkToFit="false"/>
      <protection locked="true" hidden="false"/>
    </xf>
    <xf numFmtId="164" fontId="47" fillId="5" borderId="1" xfId="0" applyFont="true" applyBorder="true" applyAlignment="true" applyProtection="false">
      <alignment horizontal="center" vertical="center" textRotation="0" wrapText="false" indent="0" shrinkToFit="false"/>
      <protection locked="true" hidden="false"/>
    </xf>
    <xf numFmtId="164" fontId="53" fillId="21" borderId="1" xfId="0" applyFont="true" applyBorder="true" applyAlignment="true" applyProtection="false">
      <alignment horizontal="center" vertical="center" textRotation="0" wrapText="false" indent="0" shrinkToFit="false"/>
      <protection locked="true" hidden="false"/>
    </xf>
    <xf numFmtId="166" fontId="47"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55" fillId="22" borderId="0" xfId="0" applyFont="true" applyBorder="false" applyAlignment="true" applyProtection="false">
      <alignment horizontal="general" vertical="bottom" textRotation="0" wrapText="false" indent="0" shrinkToFit="false"/>
      <protection locked="true" hidden="false"/>
    </xf>
    <xf numFmtId="164" fontId="53" fillId="21"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64" fontId="50" fillId="0" borderId="3" xfId="0" applyFont="true" applyBorder="true" applyAlignment="true" applyProtection="false">
      <alignment horizontal="general" vertical="bottom" textRotation="0" wrapText="false" indent="0" shrinkToFit="false"/>
      <protection locked="true" hidden="false"/>
    </xf>
    <xf numFmtId="164" fontId="41" fillId="0" borderId="3" xfId="0" applyFont="true" applyBorder="true" applyAlignment="true" applyProtection="false">
      <alignment horizontal="center"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0" fillId="20" borderId="3" xfId="0" applyFont="true" applyBorder="true" applyAlignment="true" applyProtection="false">
      <alignment horizontal="general" vertical="bottom" textRotation="0" wrapText="false" indent="0" shrinkToFit="false"/>
      <protection locked="true" hidden="false"/>
    </xf>
    <xf numFmtId="164" fontId="57" fillId="19"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64" fontId="57" fillId="23" borderId="0" xfId="0" applyFont="true" applyBorder="false" applyAlignment="true" applyProtection="false">
      <alignment horizontal="general" vertical="bottom" textRotation="0" wrapText="false" indent="0" shrinkToFit="false"/>
      <protection locked="true" hidden="false"/>
    </xf>
    <xf numFmtId="164" fontId="58" fillId="0" borderId="0" xfId="0" applyFont="true" applyBorder="true" applyAlignment="true" applyProtection="false">
      <alignment horizontal="general" vertical="bottom" textRotation="0" wrapText="false" indent="0" shrinkToFit="false"/>
      <protection locked="true" hidden="false"/>
    </xf>
    <xf numFmtId="164" fontId="59" fillId="0" borderId="0" xfId="0" applyFont="true" applyBorder="true" applyAlignment="tru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true" applyAlignment="true" applyProtection="false">
      <alignment horizontal="general" vertical="bottom" textRotation="0" wrapText="false" indent="0" shrinkToFit="false"/>
      <protection locked="true" hidden="false"/>
    </xf>
    <xf numFmtId="164" fontId="47" fillId="24"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25" borderId="2" xfId="0" applyFont="true" applyBorder="true" applyAlignment="true" applyProtection="false">
      <alignment horizontal="general" vertical="bottom" textRotation="0" wrapText="false" indent="0" shrinkToFit="false"/>
      <protection locked="true" hidden="false"/>
    </xf>
    <xf numFmtId="164" fontId="0" fillId="26" borderId="2" xfId="0" applyFont="true" applyBorder="true" applyAlignment="true" applyProtection="false">
      <alignment horizontal="general" vertical="bottom" textRotation="0" wrapText="false" indent="0" shrinkToFit="false"/>
      <protection locked="true" hidden="false"/>
    </xf>
    <xf numFmtId="164" fontId="47" fillId="27" borderId="2" xfId="0" applyFont="true" applyBorder="true" applyAlignment="true" applyProtection="false">
      <alignment horizontal="general" vertical="bottom" textRotation="0" wrapText="false" indent="0" shrinkToFit="false"/>
      <protection locked="true" hidden="false"/>
    </xf>
    <xf numFmtId="164" fontId="0" fillId="11" borderId="2" xfId="0" applyFont="true" applyBorder="true" applyAlignment="true" applyProtection="false">
      <alignment horizontal="general" vertical="bottom" textRotation="0" wrapText="false" indent="0" shrinkToFit="false"/>
      <protection locked="true" hidden="false"/>
    </xf>
    <xf numFmtId="164" fontId="0" fillId="28" borderId="2" xfId="0" applyFont="true" applyBorder="true" applyAlignment="true" applyProtection="false">
      <alignment horizontal="general" vertical="bottom" textRotation="0" wrapText="false" indent="0" shrinkToFit="false"/>
      <protection locked="true" hidden="false"/>
    </xf>
    <xf numFmtId="164" fontId="0" fillId="29" borderId="2" xfId="0" applyFont="true" applyBorder="true" applyAlignment="true" applyProtection="false">
      <alignment horizontal="general" vertical="bottom" textRotation="0" wrapText="false" indent="0" shrinkToFit="false"/>
      <protection locked="true" hidden="false"/>
    </xf>
    <xf numFmtId="164" fontId="47" fillId="25" borderId="2" xfId="0" applyFont="true" applyBorder="true" applyAlignment="true" applyProtection="false">
      <alignment horizontal="general" vertical="bottom" textRotation="0" wrapText="false" indent="0" shrinkToFit="false"/>
      <protection locked="true" hidden="false"/>
    </xf>
    <xf numFmtId="164" fontId="35" fillId="11" borderId="2" xfId="0" applyFont="true" applyBorder="true" applyAlignment="true" applyProtection="false">
      <alignment horizontal="general" vertical="bottom" textRotation="0" wrapText="false" indent="0" shrinkToFit="false"/>
      <protection locked="true" hidden="false"/>
    </xf>
    <xf numFmtId="164" fontId="61"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true" applyAlignment="false" applyProtection="false">
      <alignment horizontal="general" vertical="bottom" textRotation="0" wrapText="false" indent="0" shrinkToFit="false"/>
      <protection locked="true" hidden="false"/>
    </xf>
    <xf numFmtId="164" fontId="46" fillId="13" borderId="0" xfId="0" applyFont="true" applyBorder="false" applyAlignment="true" applyProtection="false">
      <alignment horizontal="center" vertical="bottom" textRotation="0" wrapText="false" indent="0" shrinkToFit="false"/>
      <protection locked="true" hidden="false"/>
    </xf>
    <xf numFmtId="164" fontId="62" fillId="0" borderId="0" xfId="0" applyFont="true" applyBorder="false" applyAlignment="false" applyProtection="false">
      <alignment horizontal="general" vertical="bottom" textRotation="0" wrapText="false" indent="0" shrinkToFit="false"/>
      <protection locked="true" hidden="false"/>
    </xf>
    <xf numFmtId="164" fontId="63" fillId="19" borderId="0" xfId="0" applyFont="true" applyBorder="true" applyAlignment="false" applyProtection="false">
      <alignment horizontal="general" vertical="bottom" textRotation="0" wrapText="false" indent="0" shrinkToFit="false"/>
      <protection locked="true" hidden="false"/>
    </xf>
    <xf numFmtId="164" fontId="51" fillId="3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3" fillId="31" borderId="0" xfId="0" applyFont="true" applyBorder="true" applyAlignment="false" applyProtection="false">
      <alignment horizontal="general" vertical="bottom" textRotation="0" wrapText="false" indent="0" shrinkToFit="false"/>
      <protection locked="true" hidden="false"/>
    </xf>
    <xf numFmtId="164" fontId="51" fillId="3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3" fillId="33" borderId="0" xfId="0" applyFont="true" applyBorder="true" applyAlignment="true" applyProtection="false">
      <alignment horizontal="center" vertical="bottom" textRotation="0" wrapText="false" indent="0" shrinkToFit="false"/>
      <protection locked="true" hidden="false"/>
    </xf>
    <xf numFmtId="164" fontId="64" fillId="13" borderId="0" xfId="0" applyFont="true" applyBorder="true" applyAlignment="false" applyProtection="false">
      <alignment horizontal="general" vertical="bottom" textRotation="0" wrapText="false" indent="0" shrinkToFit="false"/>
      <protection locked="true" hidden="false"/>
    </xf>
    <xf numFmtId="164" fontId="51" fillId="34" borderId="0" xfId="0" applyFont="true" applyBorder="false" applyAlignment="true" applyProtection="false">
      <alignment horizontal="center" vertical="bottom" textRotation="0" wrapText="false" indent="0" shrinkToFit="false"/>
      <protection locked="true" hidden="false"/>
    </xf>
    <xf numFmtId="164" fontId="61" fillId="35" borderId="0" xfId="0" applyFont="true" applyBorder="false" applyAlignment="true" applyProtection="false">
      <alignment horizontal="general" vertical="top" textRotation="0" wrapText="true" indent="0" shrinkToFit="false"/>
      <protection locked="true" hidden="false"/>
    </xf>
    <xf numFmtId="164" fontId="61" fillId="0" borderId="0" xfId="0" applyFont="true" applyBorder="false" applyAlignment="true" applyProtection="false">
      <alignment horizontal="general" vertical="top" textRotation="0" wrapText="true" indent="0" shrinkToFit="false"/>
      <protection locked="true" hidden="false"/>
    </xf>
    <xf numFmtId="164" fontId="65" fillId="13" borderId="0" xfId="0" applyFont="true" applyBorder="true" applyAlignment="true" applyProtection="false">
      <alignment horizontal="center" vertical="bottom" textRotation="0" wrapText="false" indent="0" shrinkToFit="false"/>
      <protection locked="true" hidden="false"/>
    </xf>
    <xf numFmtId="164" fontId="66" fillId="0" borderId="0" xfId="0" applyFont="true" applyBorder="true" applyAlignment="false" applyProtection="false">
      <alignment horizontal="general" vertical="bottom" textRotation="0" wrapText="false" indent="0" shrinkToFit="false"/>
      <protection locked="true" hidden="false"/>
    </xf>
    <xf numFmtId="164" fontId="7" fillId="3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46" fillId="6" borderId="2" xfId="0" applyFont="true" applyBorder="true" applyAlignment="true" applyProtection="false">
      <alignment horizontal="center" vertical="bottom" textRotation="0" wrapText="true" indent="0" shrinkToFit="false"/>
      <protection locked="true" hidden="false"/>
    </xf>
    <xf numFmtId="164" fontId="0" fillId="36" borderId="2" xfId="0" applyFont="true" applyBorder="true" applyAlignment="true" applyProtection="false">
      <alignment horizontal="general" vertical="top" textRotation="0" wrapText="tru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xf numFmtId="164" fontId="6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6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D3B2E"/>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E74C3C"/>
      <rgbColor rgb="FFE8F0FE"/>
      <rgbColor rgb="FF0F0F1A"/>
      <rgbColor rgb="FFFFF2CC"/>
      <rgbColor rgb="FFFCE4EC"/>
      <rgbColor rgb="FFD9E2F3"/>
      <rgbColor rgb="FF1E1E2E"/>
      <rgbColor rgb="FFF2F2F2"/>
      <rgbColor rgb="FF16162B"/>
      <rgbColor rgb="FFFB923C"/>
      <rgbColor rgb="FF1B1B2F"/>
      <rgbColor rgb="FF60A5FA"/>
      <rgbColor rgb="FFCCCCCC"/>
      <rgbColor rgb="FF818CF8"/>
      <rgbColor rgb="FFA78BFA"/>
      <rgbColor rgb="FF7030A0"/>
      <rgbColor rgb="FFFEF3C7"/>
      <rgbColor rgb="FFDBEAFE"/>
      <rgbColor rgb="FF3B0D0D"/>
      <rgbColor rgb="FFF87171"/>
      <rgbColor rgb="FF1B2A4A"/>
      <rgbColor rgb="FFD5C8F0"/>
      <rgbColor rgb="FF16213E"/>
      <rgbColor rgb="FFF3F4F6"/>
      <rgbColor rgb="FFFEE2E2"/>
      <rgbColor rgb="FFE0E0E0"/>
      <rgbColor rgb="FF1A1A2E"/>
      <rgbColor rgb="FF2B2B3D"/>
      <rgbColor rgb="FFF0F0F0"/>
      <rgbColor rgb="FF0A0A0C"/>
      <rgbColor rgb="FF4ADE80"/>
      <rgbColor rgb="FFDCEAFB"/>
      <rgbColor rgb="FFC6EFCE"/>
      <rgbColor rgb="FFFFEB9C"/>
      <rgbColor rgb="FFBDD7EE"/>
      <rgbColor rgb="FFF472B6"/>
      <rgbColor rgb="FFD9D9D9"/>
      <rgbColor rgb="FFE8D44D"/>
      <rgbColor rgb="FF4472C4"/>
      <rgbColor rgb="FF34D399"/>
      <rgbColor rgb="FFF5A623"/>
      <rgbColor rgb="FFFACC15"/>
      <rgbColor rgb="FFFF8C00"/>
      <rgbColor rgb="FFE67E22"/>
      <rgbColor rgb="FF2F5496"/>
      <rgbColor rgb="FF909090"/>
      <rgbColor rgb="FF0F3460"/>
      <rgbColor rgb="FF446F44"/>
      <rgbColor rgb="FF083E1C"/>
      <rgbColor rgb="FF3B3500"/>
      <rgbColor rgb="FF922B21"/>
      <rgbColor rgb="FFE63946"/>
      <rgbColor rgb="FF3B3B64"/>
      <rgbColor rgb="FF2D2D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A623"/>
    <pageSetUpPr fitToPage="false"/>
  </sheetPr>
  <dimension ref="A1:L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6796875" defaultRowHeight="15" customHeight="true" zeroHeight="false" outlineLevelRow="0" outlineLevelCol="0"/>
  <cols>
    <col collapsed="false" customWidth="true" hidden="false" outlineLevel="0" max="1" min="1" style="1" width="8"/>
    <col collapsed="false" customWidth="true" hidden="false" outlineLevel="0" max="2" min="2" style="1" width="18"/>
    <col collapsed="false" customWidth="true" hidden="false" outlineLevel="0" max="3" min="3" style="1" width="22"/>
    <col collapsed="false" customWidth="true" hidden="false" outlineLevel="0" max="4" min="4" style="1" width="16"/>
    <col collapsed="false" customWidth="true" hidden="false" outlineLevel="0" max="6" min="5" style="1" width="50"/>
    <col collapsed="false" customWidth="true" hidden="false" outlineLevel="0" max="11" min="7" style="1" width="10"/>
    <col collapsed="false" customWidth="true" hidden="false" outlineLevel="0" max="12" min="12" style="1" width="12"/>
  </cols>
  <sheetData>
    <row r="1" customFormat="false" ht="19.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26.2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row>
    <row r="5" customFormat="false" ht="23.25" hidden="false" customHeight="true" outlineLevel="0" collapsed="false">
      <c r="A5" s="5" t="s">
        <v>14</v>
      </c>
      <c r="B5" s="6" t="s">
        <v>15</v>
      </c>
      <c r="C5" s="7" t="s">
        <v>16</v>
      </c>
      <c r="D5" s="7" t="s">
        <v>17</v>
      </c>
      <c r="E5" s="7" t="s">
        <v>18</v>
      </c>
      <c r="F5" s="7" t="s">
        <v>19</v>
      </c>
      <c r="G5" s="8" t="n">
        <f aca="false">COUNTIF('Data Models Gap'!I:I,"*AR*")</f>
        <v>6</v>
      </c>
      <c r="H5" s="8" t="n">
        <f aca="false">COUNTIF('Feature Gap - Pages'!H:H,"*AR*")</f>
        <v>1</v>
      </c>
      <c r="I5" s="8" t="n">
        <f aca="false">COUNTIF('Service &amp; API Gap'!H:H,"*AR*")</f>
        <v>7</v>
      </c>
      <c r="J5" s="8" t="n">
        <f aca="false">COUNTIF('Infrastructure Gap'!H:H,"*AR*")</f>
        <v>3</v>
      </c>
      <c r="K5" s="8" t="n">
        <f aca="false">COUNTIF('Priority Roadmap'!I:I,"*AR*")</f>
        <v>10</v>
      </c>
      <c r="L5" s="5" t="n">
        <f aca="false">SUM(G5:K5)</f>
        <v>27</v>
      </c>
    </row>
    <row r="6" customFormat="false" ht="23.25" hidden="false" customHeight="true" outlineLevel="0" collapsed="false">
      <c r="A6" s="9" t="s">
        <v>20</v>
      </c>
      <c r="B6" s="10" t="s">
        <v>21</v>
      </c>
      <c r="C6" s="11" t="s">
        <v>22</v>
      </c>
      <c r="D6" s="11" t="s">
        <v>23</v>
      </c>
      <c r="E6" s="11" t="s">
        <v>24</v>
      </c>
      <c r="F6" s="11" t="s">
        <v>25</v>
      </c>
      <c r="G6" s="12" t="n">
        <f aca="false">COUNTIF('Data Models Gap'!I:I,"*PK*")</f>
        <v>8</v>
      </c>
      <c r="H6" s="12" t="n">
        <f aca="false">COUNTIF('Feature Gap - Pages'!H:H,"*PK*")</f>
        <v>0</v>
      </c>
      <c r="I6" s="12" t="n">
        <f aca="false">COUNTIF('Service &amp; API Gap'!H:H,"*PK*")</f>
        <v>12</v>
      </c>
      <c r="J6" s="12" t="n">
        <f aca="false">COUNTIF('Infrastructure Gap'!H:H,"*PK*")</f>
        <v>2</v>
      </c>
      <c r="K6" s="12" t="n">
        <f aca="false">COUNTIF('Priority Roadmap'!I:I,"*PK*")</f>
        <v>12</v>
      </c>
      <c r="L6" s="13" t="n">
        <f aca="false">SUM(G6:K6)</f>
        <v>34</v>
      </c>
    </row>
    <row r="7" customFormat="false" ht="23.25" hidden="false" customHeight="true" outlineLevel="0" collapsed="false">
      <c r="A7" s="14" t="s">
        <v>26</v>
      </c>
      <c r="B7" s="6" t="s">
        <v>27</v>
      </c>
      <c r="C7" s="7" t="s">
        <v>28</v>
      </c>
      <c r="D7" s="7" t="s">
        <v>23</v>
      </c>
      <c r="E7" s="7" t="s">
        <v>29</v>
      </c>
      <c r="F7" s="7" t="s">
        <v>30</v>
      </c>
      <c r="G7" s="8" t="n">
        <f aca="false">COUNTIF('Data Models Gap'!I:I,"*VS*")</f>
        <v>6</v>
      </c>
      <c r="H7" s="8" t="n">
        <f aca="false">COUNTIF('Feature Gap - Pages'!H:H,"*VS*")</f>
        <v>1</v>
      </c>
      <c r="I7" s="8" t="n">
        <f aca="false">COUNTIF('Service &amp; API Gap'!H:H,"*VS*")</f>
        <v>12</v>
      </c>
      <c r="J7" s="8" t="n">
        <f aca="false">COUNTIF('Infrastructure Gap'!H:H,"*VS*")</f>
        <v>0</v>
      </c>
      <c r="K7" s="8" t="n">
        <f aca="false">COUNTIF('Priority Roadmap'!I:I,"*VS*")</f>
        <v>8</v>
      </c>
      <c r="L7" s="5" t="n">
        <f aca="false">SUM(G7:K7)</f>
        <v>27</v>
      </c>
    </row>
    <row r="8" customFormat="false" ht="23.25" hidden="false" customHeight="true" outlineLevel="0" collapsed="false">
      <c r="A8" s="15" t="s">
        <v>31</v>
      </c>
      <c r="B8" s="10" t="s">
        <v>32</v>
      </c>
      <c r="C8" s="11" t="s">
        <v>33</v>
      </c>
      <c r="D8" s="11" t="s">
        <v>34</v>
      </c>
      <c r="E8" s="11" t="s">
        <v>35</v>
      </c>
      <c r="F8" s="11" t="s">
        <v>36</v>
      </c>
      <c r="G8" s="12" t="n">
        <f aca="false">COUNTIF('Data Models Gap'!I:I,"*NK*")</f>
        <v>1</v>
      </c>
      <c r="H8" s="12" t="n">
        <f aca="false">COUNTIF('Feature Gap - Pages'!H:H,"*NK*")</f>
        <v>18</v>
      </c>
      <c r="I8" s="12" t="n">
        <f aca="false">COUNTIF('Service &amp; API Gap'!H:H,"*NK*")</f>
        <v>0</v>
      </c>
      <c r="J8" s="12" t="n">
        <f aca="false">COUNTIF('Infrastructure Gap'!H:H,"*NK*")</f>
        <v>0</v>
      </c>
      <c r="K8" s="12" t="n">
        <f aca="false">COUNTIF('Priority Roadmap'!I:I,"*NK*")</f>
        <v>5</v>
      </c>
      <c r="L8" s="13" t="n">
        <f aca="false">SUM(G8:K8)</f>
        <v>24</v>
      </c>
    </row>
    <row r="9" customFormat="false" ht="23.25" hidden="false" customHeight="true" outlineLevel="0" collapsed="false">
      <c r="A9" s="16" t="s">
        <v>37</v>
      </c>
      <c r="B9" s="6" t="s">
        <v>38</v>
      </c>
      <c r="C9" s="7" t="s">
        <v>39</v>
      </c>
      <c r="D9" s="7" t="s">
        <v>34</v>
      </c>
      <c r="E9" s="7" t="s">
        <v>40</v>
      </c>
      <c r="F9" s="7" t="s">
        <v>41</v>
      </c>
      <c r="G9" s="8" t="n">
        <f aca="false">COUNTIF('Data Models Gap'!I:I,"*DM*")</f>
        <v>0</v>
      </c>
      <c r="H9" s="8" t="n">
        <f aca="false">COUNTIF('Feature Gap - Pages'!H:H,"*DM*")</f>
        <v>17</v>
      </c>
      <c r="I9" s="8" t="n">
        <f aca="false">COUNTIF('Service &amp; API Gap'!H:H,"*DM*")</f>
        <v>0</v>
      </c>
      <c r="J9" s="8" t="n">
        <f aca="false">COUNTIF('Infrastructure Gap'!H:H,"*DM*")</f>
        <v>1</v>
      </c>
      <c r="K9" s="8" t="n">
        <f aca="false">COUNTIF('Priority Roadmap'!I:I,"*DM*")</f>
        <v>6</v>
      </c>
      <c r="L9" s="5" t="n">
        <f aca="false">SUM(G9:K9)</f>
        <v>24</v>
      </c>
    </row>
    <row r="10" customFormat="false" ht="23.25" hidden="false" customHeight="true" outlineLevel="0" collapsed="false">
      <c r="A10" s="17" t="s">
        <v>42</v>
      </c>
      <c r="B10" s="10" t="s">
        <v>43</v>
      </c>
      <c r="C10" s="11" t="s">
        <v>44</v>
      </c>
      <c r="D10" s="11" t="s">
        <v>45</v>
      </c>
      <c r="E10" s="11" t="s">
        <v>46</v>
      </c>
      <c r="F10" s="11" t="s">
        <v>47</v>
      </c>
      <c r="G10" s="12" t="n">
        <f aca="false">COUNTIF('Data Models Gap'!I:I,"*SP*")</f>
        <v>7</v>
      </c>
      <c r="H10" s="12" t="n">
        <f aca="false">COUNTIF('Feature Gap - Pages'!H:H,"*SP*")</f>
        <v>3</v>
      </c>
      <c r="I10" s="12" t="n">
        <f aca="false">COUNTIF('Service &amp; API Gap'!H:H,"*SP*")</f>
        <v>7</v>
      </c>
      <c r="J10" s="12" t="n">
        <f aca="false">COUNTIF('Infrastructure Gap'!H:H,"*SP*")</f>
        <v>4</v>
      </c>
      <c r="K10" s="12" t="n">
        <f aca="false">COUNTIF('Priority Roadmap'!I:I,"*SP*")</f>
        <v>9</v>
      </c>
      <c r="L10" s="13" t="n">
        <f aca="false">SUM(G10:K10)</f>
        <v>30</v>
      </c>
    </row>
    <row r="11" customFormat="false" ht="23.25" hidden="false" customHeight="true" outlineLevel="0" collapsed="false">
      <c r="A11" s="18" t="s">
        <v>48</v>
      </c>
      <c r="B11" s="6" t="s">
        <v>49</v>
      </c>
      <c r="C11" s="7" t="s">
        <v>44</v>
      </c>
      <c r="D11" s="7" t="s">
        <v>45</v>
      </c>
      <c r="E11" s="7" t="s">
        <v>50</v>
      </c>
      <c r="F11" s="7" t="s">
        <v>51</v>
      </c>
      <c r="G11" s="8" t="n">
        <f aca="false">COUNTIF('Data Models Gap'!I:I,"*RG*")</f>
        <v>9</v>
      </c>
      <c r="H11" s="8" t="n">
        <f aca="false">COUNTIF('Feature Gap - Pages'!H:H,"*RG*")</f>
        <v>4</v>
      </c>
      <c r="I11" s="8" t="n">
        <f aca="false">COUNTIF('Service &amp; API Gap'!H:H,"*RG*")</f>
        <v>11</v>
      </c>
      <c r="J11" s="8" t="n">
        <f aca="false">COUNTIF('Infrastructure Gap'!H:H,"*RG*")</f>
        <v>1</v>
      </c>
      <c r="K11" s="8" t="n">
        <f aca="false">COUNTIF('Priority Roadmap'!I:I,"*RG*")</f>
        <v>9</v>
      </c>
      <c r="L11" s="5" t="n">
        <f aca="false">SUM(G11:K11)</f>
        <v>34</v>
      </c>
    </row>
    <row r="12" customFormat="false" ht="23.25" hidden="false" customHeight="true" outlineLevel="0" collapsed="false">
      <c r="A12" s="19" t="s">
        <v>52</v>
      </c>
      <c r="B12" s="10" t="s">
        <v>53</v>
      </c>
      <c r="C12" s="11" t="s">
        <v>54</v>
      </c>
      <c r="D12" s="11" t="s">
        <v>55</v>
      </c>
      <c r="E12" s="11" t="s">
        <v>56</v>
      </c>
      <c r="F12" s="11" t="s">
        <v>57</v>
      </c>
      <c r="G12" s="12" t="n">
        <f aca="false">COUNTIF('Data Models Gap'!I:I,"*AM*")</f>
        <v>6</v>
      </c>
      <c r="H12" s="12" t="n">
        <f aca="false">COUNTIF('Feature Gap - Pages'!H:H,"*AM*")</f>
        <v>0</v>
      </c>
      <c r="I12" s="12" t="n">
        <f aca="false">COUNTIF('Service &amp; API Gap'!H:H,"*AM*")</f>
        <v>9</v>
      </c>
      <c r="J12" s="12" t="n">
        <f aca="false">COUNTIF('Infrastructure Gap'!H:H,"*AM*")</f>
        <v>14</v>
      </c>
      <c r="K12" s="12" t="n">
        <f aca="false">COUNTIF('Priority Roadmap'!I:I,"*AM*")</f>
        <v>16</v>
      </c>
      <c r="L12" s="13" t="n">
        <f aca="false">SUM(G12:K12)</f>
        <v>45</v>
      </c>
    </row>
    <row r="13" customFormat="false" ht="23.25" hidden="false" customHeight="true" outlineLevel="0" collapsed="false">
      <c r="A13" s="20" t="s">
        <v>58</v>
      </c>
      <c r="B13" s="6" t="s">
        <v>59</v>
      </c>
      <c r="C13" s="7" t="s">
        <v>60</v>
      </c>
      <c r="D13" s="7" t="s">
        <v>61</v>
      </c>
      <c r="E13" s="7" t="s">
        <v>62</v>
      </c>
      <c r="F13" s="7" t="s">
        <v>63</v>
      </c>
      <c r="G13" s="8" t="n">
        <f aca="false">COUNTIF('Data Models Gap'!I:I,"*KS*")</f>
        <v>0</v>
      </c>
      <c r="H13" s="8" t="n">
        <f aca="false">COUNTIF('Feature Gap - Pages'!H:H,"*KS*")</f>
        <v>0</v>
      </c>
      <c r="I13" s="8" t="n">
        <f aca="false">COUNTIF('Service &amp; API Gap'!H:H,"*KS*")</f>
        <v>1</v>
      </c>
      <c r="J13" s="8" t="n">
        <f aca="false">COUNTIF('Infrastructure Gap'!H:H,"*KS*")</f>
        <v>1</v>
      </c>
      <c r="K13" s="8" t="n">
        <f aca="false">COUNTIF('Priority Roadmap'!I:I,"*KS*")</f>
        <v>3</v>
      </c>
      <c r="L13" s="5" t="n">
        <f aca="false">SUM(G13:K13)</f>
        <v>5</v>
      </c>
    </row>
    <row r="14" customFormat="false" ht="15" hidden="false" customHeight="true" outlineLevel="0" collapsed="false">
      <c r="A14" s="21" t="s">
        <v>64</v>
      </c>
      <c r="B14" s="22"/>
      <c r="C14" s="22"/>
      <c r="D14" s="22"/>
      <c r="E14" s="22"/>
      <c r="F14" s="22"/>
      <c r="G14" s="23" t="n">
        <f aca="false">SUM(G5:G13)</f>
        <v>43</v>
      </c>
      <c r="H14" s="23" t="n">
        <f aca="false">SUM(H5:H13)</f>
        <v>44</v>
      </c>
      <c r="I14" s="23" t="n">
        <f aca="false">SUM(I5:I13)</f>
        <v>59</v>
      </c>
      <c r="J14" s="23" t="n">
        <f aca="false">SUM(J5:J13)</f>
        <v>26</v>
      </c>
      <c r="K14" s="23" t="n">
        <f aca="false">SUM(K5:K13)</f>
        <v>78</v>
      </c>
      <c r="L14" s="23" t="n">
        <f aca="false">SUM(L5:L13)</f>
        <v>250</v>
      </c>
    </row>
    <row r="16" customFormat="false" ht="17.25" hidden="false" customHeight="true" outlineLevel="0" collapsed="false">
      <c r="A16" s="24" t="s">
        <v>65</v>
      </c>
    </row>
    <row r="17" customFormat="false" ht="26.25" hidden="false" customHeight="true" outlineLevel="0" collapsed="false">
      <c r="A17" s="4" t="s">
        <v>5</v>
      </c>
      <c r="B17" s="4" t="s">
        <v>66</v>
      </c>
      <c r="C17" s="4" t="s">
        <v>67</v>
      </c>
      <c r="D17" s="4" t="s">
        <v>68</v>
      </c>
    </row>
    <row r="18" customFormat="false" ht="34.5" hidden="false" customHeight="true" outlineLevel="0" collapsed="false">
      <c r="A18" s="7" t="s">
        <v>17</v>
      </c>
      <c r="B18" s="7" t="s">
        <v>69</v>
      </c>
      <c r="C18" s="7" t="s">
        <v>70</v>
      </c>
      <c r="D18" s="7" t="s">
        <v>71</v>
      </c>
    </row>
    <row r="19" customFormat="false" ht="34.5" hidden="false" customHeight="true" outlineLevel="0" collapsed="false">
      <c r="A19" s="11" t="s">
        <v>23</v>
      </c>
      <c r="B19" s="11" t="s">
        <v>72</v>
      </c>
      <c r="C19" s="11" t="s">
        <v>73</v>
      </c>
      <c r="D19" s="11" t="s">
        <v>74</v>
      </c>
    </row>
    <row r="20" customFormat="false" ht="34.5" hidden="false" customHeight="true" outlineLevel="0" collapsed="false">
      <c r="A20" s="7" t="s">
        <v>34</v>
      </c>
      <c r="B20" s="7" t="s">
        <v>75</v>
      </c>
      <c r="C20" s="7" t="s">
        <v>76</v>
      </c>
      <c r="D20" s="7" t="s">
        <v>77</v>
      </c>
    </row>
    <row r="21" customFormat="false" ht="34.5" hidden="false" customHeight="true" outlineLevel="0" collapsed="false">
      <c r="A21" s="11" t="s">
        <v>45</v>
      </c>
      <c r="B21" s="11" t="s">
        <v>78</v>
      </c>
      <c r="C21" s="11" t="s">
        <v>79</v>
      </c>
      <c r="D21" s="11" t="s">
        <v>80</v>
      </c>
    </row>
    <row r="22" customFormat="false" ht="34.5" hidden="false" customHeight="true" outlineLevel="0" collapsed="false">
      <c r="A22" s="7" t="s">
        <v>55</v>
      </c>
      <c r="B22" s="7" t="s">
        <v>81</v>
      </c>
      <c r="C22" s="7" t="s">
        <v>82</v>
      </c>
      <c r="D22" s="7" t="s">
        <v>83</v>
      </c>
    </row>
    <row r="23" customFormat="false" ht="34.5" hidden="false" customHeight="true" outlineLevel="0" collapsed="false">
      <c r="A23" s="11" t="s">
        <v>61</v>
      </c>
      <c r="B23" s="11" t="s">
        <v>84</v>
      </c>
      <c r="C23" s="11" t="s">
        <v>85</v>
      </c>
      <c r="D23" s="11" t="s">
        <v>86</v>
      </c>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A623"/>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true" zeroHeight="false" outlineLevelRow="0" outlineLevelCol="0"/>
  <cols>
    <col collapsed="false" customWidth="true" hidden="false" outlineLevel="0" max="1" min="1" style="1" width="30"/>
    <col collapsed="false" customWidth="true" hidden="false" outlineLevel="0" max="2" min="2" style="1" width="35"/>
    <col collapsed="false" customWidth="true" hidden="false" outlineLevel="0" max="3" min="3" style="1" width="25"/>
    <col collapsed="false" customWidth="true" hidden="false" outlineLevel="0" max="4" min="4" style="1" width="50"/>
  </cols>
  <sheetData>
    <row r="1" customFormat="false" ht="21.75" hidden="false" customHeight="true" outlineLevel="0" collapsed="false">
      <c r="A1" s="25" t="s">
        <v>87</v>
      </c>
      <c r="B1" s="25"/>
      <c r="C1" s="25"/>
      <c r="D1" s="25"/>
      <c r="E1" s="25"/>
      <c r="F1" s="25"/>
    </row>
    <row r="2" customFormat="false" ht="15" hidden="false" customHeight="true" outlineLevel="0" collapsed="false">
      <c r="A2" s="3" t="s">
        <v>88</v>
      </c>
      <c r="B2" s="3"/>
      <c r="C2" s="3"/>
      <c r="D2" s="3"/>
      <c r="E2" s="3"/>
      <c r="F2" s="3"/>
    </row>
    <row r="4" customFormat="false" ht="15" hidden="false" customHeight="true" outlineLevel="0" collapsed="false">
      <c r="A4" s="4" t="s">
        <v>89</v>
      </c>
      <c r="B4" s="4" t="s">
        <v>90</v>
      </c>
      <c r="C4" s="4" t="s">
        <v>91</v>
      </c>
      <c r="D4" s="4" t="s">
        <v>92</v>
      </c>
    </row>
    <row r="5" customFormat="false" ht="15" hidden="false" customHeight="true" outlineLevel="0" collapsed="false">
      <c r="A5" s="11" t="s">
        <v>93</v>
      </c>
      <c r="B5" s="11" t="s">
        <v>94</v>
      </c>
      <c r="C5" s="11" t="s">
        <v>95</v>
      </c>
      <c r="D5" s="11" t="s">
        <v>96</v>
      </c>
    </row>
    <row r="6" customFormat="false" ht="15" hidden="false" customHeight="true" outlineLevel="0" collapsed="false">
      <c r="A6" s="7" t="s">
        <v>97</v>
      </c>
      <c r="B6" s="7" t="s">
        <v>98</v>
      </c>
      <c r="C6" s="7" t="s">
        <v>99</v>
      </c>
      <c r="D6" s="7" t="s">
        <v>100</v>
      </c>
    </row>
    <row r="7" customFormat="false" ht="15" hidden="false" customHeight="true" outlineLevel="0" collapsed="false">
      <c r="A7" s="11" t="s">
        <v>101</v>
      </c>
      <c r="B7" s="11" t="s">
        <v>102</v>
      </c>
      <c r="C7" s="11" t="s">
        <v>103</v>
      </c>
      <c r="D7" s="11" t="s">
        <v>104</v>
      </c>
    </row>
    <row r="8" customFormat="false" ht="15" hidden="false" customHeight="true" outlineLevel="0" collapsed="false">
      <c r="A8" s="7" t="s">
        <v>105</v>
      </c>
      <c r="B8" s="7" t="s">
        <v>106</v>
      </c>
      <c r="C8" s="7" t="s">
        <v>107</v>
      </c>
      <c r="D8" s="7" t="s">
        <v>108</v>
      </c>
    </row>
    <row r="9" customFormat="false" ht="15" hidden="false" customHeight="true" outlineLevel="0" collapsed="false">
      <c r="A9" s="11" t="s">
        <v>109</v>
      </c>
      <c r="B9" s="11" t="s">
        <v>110</v>
      </c>
      <c r="C9" s="11" t="s">
        <v>111</v>
      </c>
      <c r="D9" s="11" t="s">
        <v>112</v>
      </c>
    </row>
    <row r="10" customFormat="false" ht="15" hidden="false" customHeight="true" outlineLevel="0" collapsed="false">
      <c r="A10" s="7" t="s">
        <v>113</v>
      </c>
      <c r="B10" s="7" t="s">
        <v>114</v>
      </c>
      <c r="C10" s="7" t="s">
        <v>115</v>
      </c>
      <c r="D10" s="7" t="s">
        <v>116</v>
      </c>
    </row>
    <row r="11" customFormat="false" ht="15" hidden="false" customHeight="true" outlineLevel="0" collapsed="false">
      <c r="A11" s="11" t="s">
        <v>117</v>
      </c>
      <c r="B11" s="11" t="s">
        <v>118</v>
      </c>
      <c r="C11" s="11" t="s">
        <v>119</v>
      </c>
      <c r="D11" s="11" t="s">
        <v>120</v>
      </c>
    </row>
    <row r="12" customFormat="false" ht="15" hidden="false" customHeight="true" outlineLevel="0" collapsed="false">
      <c r="A12" s="7" t="s">
        <v>121</v>
      </c>
      <c r="B12" s="7" t="s">
        <v>122</v>
      </c>
      <c r="C12" s="7" t="s">
        <v>123</v>
      </c>
      <c r="D12" s="7" t="s">
        <v>124</v>
      </c>
    </row>
    <row r="13" customFormat="false" ht="15" hidden="false" customHeight="true" outlineLevel="0" collapsed="false">
      <c r="A13" s="11" t="s">
        <v>125</v>
      </c>
      <c r="B13" s="11" t="s">
        <v>126</v>
      </c>
      <c r="C13" s="11" t="s">
        <v>127</v>
      </c>
      <c r="D13" s="11" t="s">
        <v>128</v>
      </c>
    </row>
    <row r="14" customFormat="false" ht="15" hidden="false" customHeight="true" outlineLevel="0" collapsed="false">
      <c r="A14" s="7" t="s">
        <v>129</v>
      </c>
      <c r="B14" s="7" t="s">
        <v>130</v>
      </c>
      <c r="C14" s="7" t="s">
        <v>131</v>
      </c>
      <c r="D14" s="7" t="s">
        <v>132</v>
      </c>
    </row>
    <row r="15" customFormat="false" ht="15" hidden="false" customHeight="true" outlineLevel="0" collapsed="false">
      <c r="A15" s="11" t="s">
        <v>133</v>
      </c>
      <c r="B15" s="11" t="s">
        <v>134</v>
      </c>
      <c r="C15" s="11" t="s">
        <v>131</v>
      </c>
      <c r="D15" s="11" t="s">
        <v>135</v>
      </c>
    </row>
    <row r="16" customFormat="false" ht="15" hidden="false" customHeight="true" outlineLevel="0" collapsed="false">
      <c r="A16" s="7" t="s">
        <v>45</v>
      </c>
      <c r="B16" s="7" t="s">
        <v>136</v>
      </c>
      <c r="C16" s="7" t="s">
        <v>137</v>
      </c>
      <c r="D16" s="7" t="s">
        <v>138</v>
      </c>
    </row>
    <row r="17" customFormat="false" ht="15" hidden="false" customHeight="true" outlineLevel="0" collapsed="false">
      <c r="A17" s="11" t="s">
        <v>139</v>
      </c>
      <c r="B17" s="11" t="s">
        <v>140</v>
      </c>
      <c r="C17" s="11" t="s">
        <v>141</v>
      </c>
      <c r="D17" s="11" t="s">
        <v>142</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6"/>
    <col collapsed="false" customWidth="true" hidden="false" outlineLevel="0" max="2" min="2" style="0" width="8"/>
    <col collapsed="false" customWidth="true" hidden="false" outlineLevel="0" max="3" min="3" style="0" width="22"/>
    <col collapsed="false" customWidth="true" hidden="false" outlineLevel="0" max="4" min="4" style="0" width="55"/>
    <col collapsed="false" customWidth="true" hidden="false" outlineLevel="0" max="5" min="5" style="0" width="8"/>
    <col collapsed="false" customWidth="true" hidden="false" outlineLevel="0" max="6" min="6" style="0" width="18"/>
    <col collapsed="false" customWidth="true" hidden="false" outlineLevel="0" max="8" min="7" style="0" width="12"/>
    <col collapsed="false" customWidth="true" hidden="false" outlineLevel="0" max="9" min="9" style="0" width="10"/>
    <col collapsed="false" customWidth="true" hidden="false" outlineLevel="0" max="10" min="10" style="0" width="30"/>
  </cols>
  <sheetData>
    <row r="1" customFormat="false" ht="26.85" hidden="false" customHeight="false" outlineLevel="0" collapsed="false">
      <c r="A1" s="26" t="s">
        <v>2</v>
      </c>
      <c r="B1" s="26" t="s">
        <v>143</v>
      </c>
      <c r="C1" s="26" t="s">
        <v>144</v>
      </c>
      <c r="D1" s="26" t="s">
        <v>145</v>
      </c>
      <c r="E1" s="26" t="s">
        <v>146</v>
      </c>
      <c r="F1" s="26" t="s">
        <v>147</v>
      </c>
      <c r="G1" s="26" t="s">
        <v>148</v>
      </c>
      <c r="H1" s="26" t="s">
        <v>149</v>
      </c>
      <c r="I1" s="26" t="s">
        <v>150</v>
      </c>
      <c r="J1" s="26" t="s">
        <v>151</v>
      </c>
    </row>
    <row r="2" customFormat="false" ht="91" hidden="false" customHeight="false" outlineLevel="0" collapsed="false">
      <c r="A2" s="27" t="s">
        <v>152</v>
      </c>
      <c r="B2" s="28" t="s">
        <v>153</v>
      </c>
      <c r="C2" s="27" t="s">
        <v>154</v>
      </c>
      <c r="D2" s="27" t="s">
        <v>155</v>
      </c>
      <c r="E2" s="27" t="s">
        <v>156</v>
      </c>
      <c r="F2" s="27" t="s">
        <v>157</v>
      </c>
      <c r="G2" s="27" t="s">
        <v>158</v>
      </c>
      <c r="H2" s="27" t="s">
        <v>37</v>
      </c>
      <c r="I2" s="27" t="s">
        <v>159</v>
      </c>
      <c r="J2" s="27" t="s">
        <v>160</v>
      </c>
    </row>
    <row r="3" customFormat="false" ht="102.2" hidden="false" customHeight="false" outlineLevel="0" collapsed="false">
      <c r="A3" s="27" t="s">
        <v>161</v>
      </c>
      <c r="B3" s="28" t="s">
        <v>153</v>
      </c>
      <c r="C3" s="27" t="s">
        <v>162</v>
      </c>
      <c r="D3" s="27" t="s">
        <v>163</v>
      </c>
      <c r="E3" s="27" t="s">
        <v>164</v>
      </c>
      <c r="F3" s="27" t="s">
        <v>165</v>
      </c>
      <c r="G3" s="27" t="s">
        <v>158</v>
      </c>
      <c r="H3" s="27" t="s">
        <v>166</v>
      </c>
      <c r="I3" s="27" t="s">
        <v>159</v>
      </c>
      <c r="J3" s="27" t="s">
        <v>167</v>
      </c>
    </row>
    <row r="4" customFormat="false" ht="91" hidden="false" customHeight="false" outlineLevel="0" collapsed="false">
      <c r="A4" s="27" t="s">
        <v>168</v>
      </c>
      <c r="B4" s="28" t="s">
        <v>153</v>
      </c>
      <c r="C4" s="27" t="s">
        <v>169</v>
      </c>
      <c r="D4" s="27" t="s">
        <v>170</v>
      </c>
      <c r="E4" s="27" t="s">
        <v>164</v>
      </c>
      <c r="F4" s="27" t="s">
        <v>171</v>
      </c>
      <c r="G4" s="27" t="s">
        <v>158</v>
      </c>
      <c r="H4" s="27" t="s">
        <v>20</v>
      </c>
      <c r="I4" s="27" t="s">
        <v>159</v>
      </c>
      <c r="J4" s="27" t="s">
        <v>172</v>
      </c>
    </row>
    <row r="5" customFormat="false" ht="91" hidden="false" customHeight="false" outlineLevel="0" collapsed="false">
      <c r="A5" s="27" t="s">
        <v>173</v>
      </c>
      <c r="B5" s="28" t="s">
        <v>153</v>
      </c>
      <c r="C5" s="27" t="s">
        <v>174</v>
      </c>
      <c r="D5" s="27" t="s">
        <v>175</v>
      </c>
      <c r="E5" s="27" t="s">
        <v>156</v>
      </c>
      <c r="F5" s="27" t="s">
        <v>176</v>
      </c>
      <c r="G5" s="27" t="s">
        <v>158</v>
      </c>
      <c r="H5" s="27" t="s">
        <v>14</v>
      </c>
      <c r="I5" s="27" t="s">
        <v>159</v>
      </c>
      <c r="J5" s="27" t="s">
        <v>177</v>
      </c>
    </row>
    <row r="6" customFormat="false" ht="68.65" hidden="false" customHeight="false" outlineLevel="0" collapsed="false">
      <c r="A6" s="27" t="s">
        <v>178</v>
      </c>
      <c r="B6" s="28" t="s">
        <v>153</v>
      </c>
      <c r="C6" s="27" t="s">
        <v>179</v>
      </c>
      <c r="D6" s="27" t="s">
        <v>180</v>
      </c>
      <c r="E6" s="27" t="s">
        <v>181</v>
      </c>
      <c r="F6" s="27" t="s">
        <v>182</v>
      </c>
      <c r="G6" s="27" t="s">
        <v>158</v>
      </c>
      <c r="H6" s="27" t="s">
        <v>48</v>
      </c>
      <c r="I6" s="27" t="s">
        <v>159</v>
      </c>
      <c r="J6" s="27" t="s">
        <v>183</v>
      </c>
    </row>
    <row r="7" customFormat="false" ht="79.85" hidden="false" customHeight="false" outlineLevel="0" collapsed="false">
      <c r="A7" s="27" t="s">
        <v>184</v>
      </c>
      <c r="B7" s="29" t="s">
        <v>185</v>
      </c>
      <c r="C7" s="27" t="s">
        <v>186</v>
      </c>
      <c r="D7" s="27" t="s">
        <v>187</v>
      </c>
      <c r="E7" s="27" t="s">
        <v>164</v>
      </c>
      <c r="F7" s="27" t="s">
        <v>188</v>
      </c>
      <c r="G7" s="27" t="s">
        <v>158</v>
      </c>
      <c r="H7" s="27" t="s">
        <v>42</v>
      </c>
      <c r="I7" s="27" t="s">
        <v>159</v>
      </c>
      <c r="J7" s="27" t="s">
        <v>189</v>
      </c>
    </row>
    <row r="8" customFormat="false" ht="68.65" hidden="false" customHeight="false" outlineLevel="0" collapsed="false">
      <c r="A8" s="27" t="s">
        <v>190</v>
      </c>
      <c r="B8" s="29" t="s">
        <v>185</v>
      </c>
      <c r="C8" s="27" t="s">
        <v>191</v>
      </c>
      <c r="D8" s="27" t="s">
        <v>192</v>
      </c>
      <c r="E8" s="27" t="s">
        <v>181</v>
      </c>
      <c r="F8" s="27" t="s">
        <v>176</v>
      </c>
      <c r="G8" s="27" t="s">
        <v>158</v>
      </c>
      <c r="H8" s="27" t="s">
        <v>193</v>
      </c>
      <c r="I8" s="27" t="s">
        <v>159</v>
      </c>
      <c r="J8" s="27" t="s">
        <v>194</v>
      </c>
    </row>
    <row r="9" customFormat="false" ht="79.85" hidden="false" customHeight="false" outlineLevel="0" collapsed="false">
      <c r="A9" s="27" t="s">
        <v>195</v>
      </c>
      <c r="B9" s="29" t="s">
        <v>185</v>
      </c>
      <c r="C9" s="27" t="s">
        <v>196</v>
      </c>
      <c r="D9" s="27" t="s">
        <v>197</v>
      </c>
      <c r="E9" s="27" t="s">
        <v>164</v>
      </c>
      <c r="F9" s="27" t="s">
        <v>198</v>
      </c>
      <c r="G9" s="27" t="s">
        <v>199</v>
      </c>
      <c r="H9" s="27" t="s">
        <v>52</v>
      </c>
      <c r="I9" s="27" t="s">
        <v>159</v>
      </c>
      <c r="J9" s="27" t="s">
        <v>200</v>
      </c>
    </row>
    <row r="10" customFormat="false" ht="68.65" hidden="false" customHeight="false" outlineLevel="0" collapsed="false">
      <c r="A10" s="27" t="s">
        <v>201</v>
      </c>
      <c r="B10" s="29" t="s">
        <v>185</v>
      </c>
      <c r="C10" s="27" t="s">
        <v>202</v>
      </c>
      <c r="D10" s="27" t="s">
        <v>203</v>
      </c>
      <c r="E10" s="27" t="s">
        <v>181</v>
      </c>
      <c r="F10" s="27" t="s">
        <v>204</v>
      </c>
      <c r="G10" s="27" t="s">
        <v>199</v>
      </c>
      <c r="H10" s="27" t="s">
        <v>205</v>
      </c>
      <c r="I10" s="27" t="s">
        <v>159</v>
      </c>
      <c r="J10" s="27" t="s">
        <v>206</v>
      </c>
    </row>
    <row r="11" customFormat="false" ht="68.65" hidden="false" customHeight="false" outlineLevel="0" collapsed="false">
      <c r="A11" s="27" t="s">
        <v>207</v>
      </c>
      <c r="B11" s="29" t="s">
        <v>185</v>
      </c>
      <c r="C11" s="27" t="s">
        <v>208</v>
      </c>
      <c r="D11" s="27" t="s">
        <v>209</v>
      </c>
      <c r="E11" s="27" t="s">
        <v>164</v>
      </c>
      <c r="F11" s="27" t="s">
        <v>210</v>
      </c>
      <c r="G11" s="27" t="s">
        <v>199</v>
      </c>
      <c r="H11" s="27" t="s">
        <v>211</v>
      </c>
      <c r="I11" s="27" t="s">
        <v>159</v>
      </c>
      <c r="J11" s="27" t="s">
        <v>212</v>
      </c>
    </row>
    <row r="12" customFormat="false" ht="68.65" hidden="false" customHeight="false" outlineLevel="0" collapsed="false">
      <c r="A12" s="27" t="s">
        <v>213</v>
      </c>
      <c r="B12" s="30" t="s">
        <v>214</v>
      </c>
      <c r="C12" s="27" t="s">
        <v>215</v>
      </c>
      <c r="D12" s="27" t="s">
        <v>216</v>
      </c>
      <c r="E12" s="27" t="s">
        <v>156</v>
      </c>
      <c r="F12" s="27" t="s">
        <v>198</v>
      </c>
      <c r="G12" s="27" t="s">
        <v>217</v>
      </c>
      <c r="H12" s="27" t="s">
        <v>218</v>
      </c>
      <c r="I12" s="27" t="s">
        <v>159</v>
      </c>
      <c r="J12" s="27" t="s">
        <v>219</v>
      </c>
    </row>
    <row r="13" customFormat="false" ht="68.65" hidden="false" customHeight="false" outlineLevel="0" collapsed="false">
      <c r="A13" s="27" t="s">
        <v>220</v>
      </c>
      <c r="B13" s="30" t="s">
        <v>214</v>
      </c>
      <c r="C13" s="27" t="s">
        <v>221</v>
      </c>
      <c r="D13" s="27" t="s">
        <v>222</v>
      </c>
      <c r="E13" s="27" t="s">
        <v>156</v>
      </c>
      <c r="F13" s="27" t="s">
        <v>223</v>
      </c>
      <c r="G13" s="27" t="s">
        <v>217</v>
      </c>
      <c r="H13" s="27" t="s">
        <v>224</v>
      </c>
      <c r="I13" s="27" t="s">
        <v>159</v>
      </c>
      <c r="J13" s="27" t="s">
        <v>225</v>
      </c>
    </row>
    <row r="14" customFormat="false" ht="68.65" hidden="false" customHeight="false" outlineLevel="0" collapsed="false">
      <c r="A14" s="27" t="s">
        <v>226</v>
      </c>
      <c r="B14" s="30" t="s">
        <v>214</v>
      </c>
      <c r="C14" s="27" t="s">
        <v>227</v>
      </c>
      <c r="D14" s="27" t="s">
        <v>228</v>
      </c>
      <c r="E14" s="27" t="s">
        <v>164</v>
      </c>
      <c r="F14" s="27" t="s">
        <v>198</v>
      </c>
      <c r="G14" s="27" t="s">
        <v>229</v>
      </c>
      <c r="H14" s="27" t="s">
        <v>230</v>
      </c>
      <c r="I14" s="27" t="s">
        <v>159</v>
      </c>
      <c r="J14" s="27" t="s">
        <v>231</v>
      </c>
    </row>
    <row r="15" customFormat="false" ht="68.65" hidden="false" customHeight="false" outlineLevel="0" collapsed="false">
      <c r="A15" s="27" t="s">
        <v>232</v>
      </c>
      <c r="B15" s="30" t="s">
        <v>214</v>
      </c>
      <c r="C15" s="27" t="s">
        <v>233</v>
      </c>
      <c r="D15" s="27" t="s">
        <v>234</v>
      </c>
      <c r="E15" s="27" t="s">
        <v>164</v>
      </c>
      <c r="F15" s="27" t="s">
        <v>235</v>
      </c>
      <c r="G15" s="27" t="s">
        <v>236</v>
      </c>
      <c r="H15" s="27" t="s">
        <v>237</v>
      </c>
      <c r="I15" s="27" t="s">
        <v>159</v>
      </c>
      <c r="J15" s="27" t="s">
        <v>238</v>
      </c>
    </row>
    <row r="16" customFormat="false" ht="68.65" hidden="false" customHeight="false" outlineLevel="0" collapsed="false">
      <c r="A16" s="27" t="s">
        <v>239</v>
      </c>
      <c r="B16" s="31" t="s">
        <v>240</v>
      </c>
      <c r="C16" s="27" t="s">
        <v>241</v>
      </c>
      <c r="D16" s="27" t="s">
        <v>242</v>
      </c>
      <c r="E16" s="27" t="s">
        <v>156</v>
      </c>
      <c r="F16" s="27" t="s">
        <v>243</v>
      </c>
      <c r="G16" s="27" t="s">
        <v>244</v>
      </c>
      <c r="H16" s="27" t="s">
        <v>224</v>
      </c>
      <c r="I16" s="27" t="s">
        <v>159</v>
      </c>
      <c r="J16" s="27" t="s">
        <v>245</v>
      </c>
    </row>
    <row r="18" customFormat="false" ht="15" hidden="false" customHeight="true" outlineLevel="0" collapsed="false">
      <c r="A18" s="32" t="s">
        <v>246</v>
      </c>
      <c r="B18" s="33" t="s">
        <v>247</v>
      </c>
      <c r="C18" s="33"/>
      <c r="D18" s="33"/>
      <c r="E18" s="33"/>
      <c r="F18" s="33"/>
      <c r="G18" s="33"/>
      <c r="H18" s="33"/>
      <c r="I18" s="33"/>
      <c r="J18" s="33"/>
    </row>
  </sheetData>
  <mergeCells count="1">
    <mergeCell ref="B18:J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7171"/>
    <pageSetUpPr fitToPage="false"/>
  </sheetPr>
  <dimension ref="A1:K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true"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20"/>
    <col collapsed="false" customWidth="true" hidden="false" outlineLevel="0" max="4" min="4" style="1" width="12"/>
    <col collapsed="false" customWidth="true" hidden="false" outlineLevel="0" max="5" min="5" style="1" width="60"/>
    <col collapsed="false" customWidth="true" hidden="false" outlineLevel="0" max="6" min="6" style="1" width="8"/>
    <col collapsed="false" customWidth="true" hidden="false" outlineLevel="0" max="7" min="7" style="1" width="45"/>
    <col collapsed="false" customWidth="true" hidden="false" outlineLevel="0" max="8" min="8" style="1" width="7"/>
    <col collapsed="false" customWidth="true" hidden="false" outlineLevel="0" max="9" min="9" style="1" width="18"/>
    <col collapsed="false" customWidth="true" hidden="false" outlineLevel="0" max="11" min="10" style="1" width="16"/>
  </cols>
  <sheetData>
    <row r="1" customFormat="false" ht="26.25" hidden="false" customHeight="true" outlineLevel="0" collapsed="false">
      <c r="A1" s="4" t="s">
        <v>248</v>
      </c>
      <c r="B1" s="4" t="s">
        <v>249</v>
      </c>
      <c r="C1" s="4" t="s">
        <v>250</v>
      </c>
      <c r="D1" s="4" t="s">
        <v>150</v>
      </c>
      <c r="E1" s="4" t="s">
        <v>251</v>
      </c>
      <c r="F1" s="4" t="s">
        <v>143</v>
      </c>
      <c r="G1" s="4" t="s">
        <v>151</v>
      </c>
      <c r="H1" s="4" t="s">
        <v>252</v>
      </c>
      <c r="I1" s="4" t="s">
        <v>253</v>
      </c>
      <c r="J1" s="4" t="s">
        <v>5</v>
      </c>
      <c r="K1" s="4" t="s">
        <v>254</v>
      </c>
    </row>
    <row r="2" customFormat="false" ht="34.5" hidden="false" customHeight="true" outlineLevel="0" collapsed="false">
      <c r="A2" s="34" t="s">
        <v>255</v>
      </c>
      <c r="B2" s="34" t="s">
        <v>256</v>
      </c>
      <c r="C2" s="34" t="s">
        <v>257</v>
      </c>
      <c r="D2" s="35" t="s">
        <v>258</v>
      </c>
      <c r="E2" s="34" t="s">
        <v>259</v>
      </c>
      <c r="F2" s="36" t="s">
        <v>153</v>
      </c>
      <c r="G2" s="34" t="s">
        <v>260</v>
      </c>
      <c r="H2" s="37" t="s">
        <v>261</v>
      </c>
      <c r="I2" s="38" t="s">
        <v>262</v>
      </c>
      <c r="J2" s="39" t="s">
        <v>23</v>
      </c>
      <c r="K2" s="40" t="s">
        <v>263</v>
      </c>
    </row>
    <row r="3" customFormat="false" ht="45.75" hidden="false" customHeight="true" outlineLevel="0" collapsed="false">
      <c r="A3" s="34" t="s">
        <v>264</v>
      </c>
      <c r="B3" s="34" t="s">
        <v>265</v>
      </c>
      <c r="C3" s="34" t="s">
        <v>266</v>
      </c>
      <c r="D3" s="36" t="s">
        <v>258</v>
      </c>
      <c r="E3" s="34" t="s">
        <v>267</v>
      </c>
      <c r="F3" s="36" t="s">
        <v>153</v>
      </c>
      <c r="G3" s="34" t="s">
        <v>268</v>
      </c>
      <c r="H3" s="37" t="s">
        <v>261</v>
      </c>
      <c r="I3" s="38" t="s">
        <v>262</v>
      </c>
      <c r="J3" s="39" t="s">
        <v>23</v>
      </c>
      <c r="K3" s="41" t="s">
        <v>263</v>
      </c>
    </row>
    <row r="4" customFormat="false" ht="23.25" hidden="false" customHeight="true" outlineLevel="0" collapsed="false">
      <c r="A4" s="7" t="s">
        <v>269</v>
      </c>
      <c r="B4" s="7" t="s">
        <v>270</v>
      </c>
      <c r="C4" s="7" t="s">
        <v>271</v>
      </c>
      <c r="D4" s="42" t="s">
        <v>258</v>
      </c>
      <c r="E4" s="7" t="s">
        <v>272</v>
      </c>
      <c r="F4" s="43" t="s">
        <v>153</v>
      </c>
      <c r="G4" s="7" t="s">
        <v>273</v>
      </c>
      <c r="H4" s="44" t="s">
        <v>261</v>
      </c>
      <c r="I4" s="45" t="s">
        <v>262</v>
      </c>
      <c r="J4" s="8" t="s">
        <v>23</v>
      </c>
      <c r="K4" s="46" t="s">
        <v>274</v>
      </c>
    </row>
    <row r="5" customFormat="false" ht="23.25" hidden="false" customHeight="true" outlineLevel="0" collapsed="false">
      <c r="A5" s="34" t="s">
        <v>275</v>
      </c>
      <c r="B5" s="34" t="s">
        <v>276</v>
      </c>
      <c r="C5" s="34" t="s">
        <v>277</v>
      </c>
      <c r="D5" s="35" t="s">
        <v>258</v>
      </c>
      <c r="E5" s="34" t="s">
        <v>278</v>
      </c>
      <c r="F5" s="35" t="s">
        <v>185</v>
      </c>
      <c r="G5" s="34" t="s">
        <v>279</v>
      </c>
      <c r="H5" s="37" t="s">
        <v>261</v>
      </c>
      <c r="I5" s="47" t="s">
        <v>280</v>
      </c>
      <c r="J5" s="39" t="s">
        <v>17</v>
      </c>
      <c r="K5" s="41" t="s">
        <v>263</v>
      </c>
    </row>
    <row r="6" customFormat="false" ht="23.25" hidden="false" customHeight="true" outlineLevel="0" collapsed="false">
      <c r="A6" s="34" t="s">
        <v>281</v>
      </c>
      <c r="B6" s="34" t="s">
        <v>282</v>
      </c>
      <c r="C6" s="34" t="s">
        <v>283</v>
      </c>
      <c r="D6" s="35" t="s">
        <v>258</v>
      </c>
      <c r="E6" s="34" t="s">
        <v>284</v>
      </c>
      <c r="F6" s="35" t="s">
        <v>185</v>
      </c>
      <c r="G6" s="34" t="s">
        <v>285</v>
      </c>
      <c r="H6" s="37" t="s">
        <v>261</v>
      </c>
      <c r="I6" s="47" t="s">
        <v>280</v>
      </c>
      <c r="J6" s="39" t="s">
        <v>17</v>
      </c>
      <c r="K6" s="41" t="s">
        <v>263</v>
      </c>
    </row>
    <row r="7" customFormat="false" ht="15" hidden="false" customHeight="true" outlineLevel="0" collapsed="false">
      <c r="A7" s="11" t="s">
        <v>286</v>
      </c>
      <c r="B7" s="11" t="s">
        <v>287</v>
      </c>
      <c r="C7" s="11" t="s">
        <v>288</v>
      </c>
      <c r="D7" s="42" t="s">
        <v>289</v>
      </c>
      <c r="E7" s="11" t="s">
        <v>290</v>
      </c>
      <c r="F7" s="48" t="s">
        <v>185</v>
      </c>
      <c r="G7" s="11" t="s">
        <v>291</v>
      </c>
      <c r="H7" s="44" t="s">
        <v>261</v>
      </c>
      <c r="I7" s="49" t="s">
        <v>280</v>
      </c>
      <c r="J7" s="12" t="s">
        <v>17</v>
      </c>
      <c r="K7" s="50" t="s">
        <v>263</v>
      </c>
    </row>
    <row r="8" customFormat="false" ht="34.5" hidden="false" customHeight="true" outlineLevel="0" collapsed="false">
      <c r="A8" s="34" t="s">
        <v>292</v>
      </c>
      <c r="B8" s="34" t="s">
        <v>293</v>
      </c>
      <c r="C8" s="34" t="s">
        <v>294</v>
      </c>
      <c r="D8" s="35" t="s">
        <v>258</v>
      </c>
      <c r="E8" s="34" t="s">
        <v>295</v>
      </c>
      <c r="F8" s="35" t="s">
        <v>185</v>
      </c>
      <c r="G8" s="34" t="s">
        <v>296</v>
      </c>
      <c r="H8" s="37" t="s">
        <v>261</v>
      </c>
      <c r="I8" s="47" t="s">
        <v>280</v>
      </c>
      <c r="J8" s="39" t="s">
        <v>17</v>
      </c>
      <c r="K8" s="41" t="s">
        <v>263</v>
      </c>
    </row>
    <row r="9" customFormat="false" ht="34.5" hidden="false" customHeight="true" outlineLevel="0" collapsed="false">
      <c r="A9" s="34" t="s">
        <v>297</v>
      </c>
      <c r="B9" s="34" t="s">
        <v>298</v>
      </c>
      <c r="C9" s="34" t="s">
        <v>299</v>
      </c>
      <c r="D9" s="35" t="s">
        <v>258</v>
      </c>
      <c r="E9" s="34" t="s">
        <v>300</v>
      </c>
      <c r="F9" s="35" t="s">
        <v>185</v>
      </c>
      <c r="G9" s="34" t="s">
        <v>301</v>
      </c>
      <c r="H9" s="37" t="s">
        <v>261</v>
      </c>
      <c r="I9" s="47" t="s">
        <v>280</v>
      </c>
      <c r="J9" s="39" t="s">
        <v>17</v>
      </c>
      <c r="K9" s="41" t="s">
        <v>263</v>
      </c>
    </row>
    <row r="10" customFormat="false" ht="23.25" hidden="false" customHeight="true" outlineLevel="0" collapsed="false">
      <c r="A10" s="34" t="s">
        <v>302</v>
      </c>
      <c r="B10" s="34" t="s">
        <v>303</v>
      </c>
      <c r="C10" s="34" t="s">
        <v>304</v>
      </c>
      <c r="D10" s="35" t="s">
        <v>258</v>
      </c>
      <c r="E10" s="34" t="s">
        <v>305</v>
      </c>
      <c r="F10" s="51" t="s">
        <v>214</v>
      </c>
      <c r="G10" s="34" t="s">
        <v>306</v>
      </c>
      <c r="H10" s="37" t="s">
        <v>261</v>
      </c>
      <c r="I10" s="52" t="s">
        <v>307</v>
      </c>
      <c r="J10" s="39" t="s">
        <v>45</v>
      </c>
      <c r="K10" s="41" t="s">
        <v>263</v>
      </c>
    </row>
    <row r="11" customFormat="false" ht="15" hidden="false" customHeight="true" outlineLevel="0" collapsed="false">
      <c r="A11" s="11" t="s">
        <v>308</v>
      </c>
      <c r="B11" s="11" t="s">
        <v>309</v>
      </c>
      <c r="C11" s="11" t="s">
        <v>294</v>
      </c>
      <c r="D11" s="53" t="s">
        <v>258</v>
      </c>
      <c r="E11" s="11" t="s">
        <v>310</v>
      </c>
      <c r="F11" s="11" t="s">
        <v>288</v>
      </c>
      <c r="G11" s="11" t="s">
        <v>311</v>
      </c>
      <c r="H11" s="54" t="s">
        <v>261</v>
      </c>
      <c r="I11" s="55" t="s">
        <v>288</v>
      </c>
      <c r="J11" s="12" t="s">
        <v>288</v>
      </c>
      <c r="K11" s="56" t="s">
        <v>263</v>
      </c>
    </row>
    <row r="12" customFormat="false" ht="34.5" hidden="false" customHeight="true" outlineLevel="0" collapsed="false">
      <c r="A12" s="7" t="s">
        <v>312</v>
      </c>
      <c r="B12" s="7" t="s">
        <v>313</v>
      </c>
      <c r="C12" s="7" t="s">
        <v>288</v>
      </c>
      <c r="D12" s="42" t="s">
        <v>289</v>
      </c>
      <c r="E12" s="7" t="s">
        <v>314</v>
      </c>
      <c r="F12" s="43" t="s">
        <v>153</v>
      </c>
      <c r="G12" s="7" t="s">
        <v>315</v>
      </c>
      <c r="H12" s="44" t="s">
        <v>261</v>
      </c>
      <c r="I12" s="57" t="s">
        <v>316</v>
      </c>
      <c r="J12" s="8" t="s">
        <v>23</v>
      </c>
      <c r="K12" s="58" t="s">
        <v>263</v>
      </c>
    </row>
    <row r="13" customFormat="false" ht="34.5" hidden="false" customHeight="true" outlineLevel="0" collapsed="false">
      <c r="A13" s="11" t="s">
        <v>317</v>
      </c>
      <c r="B13" s="11" t="s">
        <v>318</v>
      </c>
      <c r="C13" s="11" t="s">
        <v>288</v>
      </c>
      <c r="D13" s="42" t="s">
        <v>258</v>
      </c>
      <c r="E13" s="11" t="s">
        <v>319</v>
      </c>
      <c r="F13" s="59" t="s">
        <v>153</v>
      </c>
      <c r="G13" s="11" t="s">
        <v>320</v>
      </c>
      <c r="H13" s="44" t="s">
        <v>261</v>
      </c>
      <c r="I13" s="60" t="s">
        <v>316</v>
      </c>
      <c r="J13" s="12" t="s">
        <v>23</v>
      </c>
      <c r="K13" s="50" t="s">
        <v>263</v>
      </c>
    </row>
    <row r="14" customFormat="false" ht="23.25" hidden="false" customHeight="true" outlineLevel="0" collapsed="false">
      <c r="A14" s="7" t="s">
        <v>321</v>
      </c>
      <c r="B14" s="7" t="s">
        <v>322</v>
      </c>
      <c r="C14" s="7" t="s">
        <v>323</v>
      </c>
      <c r="D14" s="42" t="s">
        <v>289</v>
      </c>
      <c r="E14" s="7" t="s">
        <v>324</v>
      </c>
      <c r="F14" s="43" t="s">
        <v>153</v>
      </c>
      <c r="G14" s="7" t="s">
        <v>325</v>
      </c>
      <c r="H14" s="44" t="s">
        <v>261</v>
      </c>
      <c r="I14" s="57" t="s">
        <v>316</v>
      </c>
      <c r="J14" s="8" t="s">
        <v>23</v>
      </c>
      <c r="K14" s="58" t="s">
        <v>263</v>
      </c>
    </row>
    <row r="15" customFormat="false" ht="23.25" hidden="false" customHeight="true" outlineLevel="0" collapsed="false">
      <c r="A15" s="34" t="s">
        <v>326</v>
      </c>
      <c r="B15" s="34" t="s">
        <v>327</v>
      </c>
      <c r="C15" s="34" t="s">
        <v>328</v>
      </c>
      <c r="D15" s="35" t="s">
        <v>258</v>
      </c>
      <c r="E15" s="34" t="s">
        <v>329</v>
      </c>
      <c r="F15" s="35" t="s">
        <v>185</v>
      </c>
      <c r="G15" s="34" t="s">
        <v>330</v>
      </c>
      <c r="H15" s="37" t="s">
        <v>261</v>
      </c>
      <c r="I15" s="61" t="s">
        <v>316</v>
      </c>
      <c r="J15" s="39" t="s">
        <v>23</v>
      </c>
      <c r="K15" s="41" t="s">
        <v>263</v>
      </c>
    </row>
    <row r="16" customFormat="false" ht="34.5" hidden="false" customHeight="true" outlineLevel="0" collapsed="false">
      <c r="A16" s="34" t="s">
        <v>331</v>
      </c>
      <c r="B16" s="34" t="s">
        <v>332</v>
      </c>
      <c r="C16" s="34" t="s">
        <v>333</v>
      </c>
      <c r="D16" s="36" t="s">
        <v>258</v>
      </c>
      <c r="E16" s="34" t="s">
        <v>334</v>
      </c>
      <c r="F16" s="36" t="s">
        <v>153</v>
      </c>
      <c r="G16" s="34" t="s">
        <v>335</v>
      </c>
      <c r="H16" s="37" t="s">
        <v>261</v>
      </c>
      <c r="I16" s="61" t="s">
        <v>316</v>
      </c>
      <c r="J16" s="39" t="s">
        <v>23</v>
      </c>
      <c r="K16" s="41" t="s">
        <v>263</v>
      </c>
    </row>
    <row r="17" customFormat="false" ht="34.5" hidden="false" customHeight="true" outlineLevel="0" collapsed="false">
      <c r="A17" s="34" t="s">
        <v>336</v>
      </c>
      <c r="B17" s="34" t="s">
        <v>337</v>
      </c>
      <c r="C17" s="34" t="s">
        <v>338</v>
      </c>
      <c r="D17" s="35" t="s">
        <v>258</v>
      </c>
      <c r="E17" s="34" t="s">
        <v>339</v>
      </c>
      <c r="F17" s="51" t="s">
        <v>214</v>
      </c>
      <c r="G17" s="34" t="s">
        <v>340</v>
      </c>
      <c r="H17" s="37" t="s">
        <v>261</v>
      </c>
      <c r="I17" s="61" t="s">
        <v>316</v>
      </c>
      <c r="J17" s="39" t="s">
        <v>23</v>
      </c>
      <c r="K17" s="41" t="s">
        <v>263</v>
      </c>
    </row>
    <row r="18" customFormat="false" ht="23.25" hidden="false" customHeight="true" outlineLevel="0" collapsed="false">
      <c r="A18" s="34" t="s">
        <v>341</v>
      </c>
      <c r="B18" s="34" t="s">
        <v>342</v>
      </c>
      <c r="C18" s="34" t="s">
        <v>343</v>
      </c>
      <c r="D18" s="36" t="s">
        <v>258</v>
      </c>
      <c r="E18" s="34" t="s">
        <v>344</v>
      </c>
      <c r="F18" s="35" t="s">
        <v>185</v>
      </c>
      <c r="G18" s="34" t="s">
        <v>345</v>
      </c>
      <c r="H18" s="37" t="s">
        <v>261</v>
      </c>
      <c r="I18" s="52" t="s">
        <v>307</v>
      </c>
      <c r="J18" s="39" t="s">
        <v>45</v>
      </c>
      <c r="K18" s="41" t="s">
        <v>263</v>
      </c>
    </row>
    <row r="19" customFormat="false" ht="23.25" hidden="false" customHeight="true" outlineLevel="0" collapsed="false">
      <c r="A19" s="34" t="s">
        <v>346</v>
      </c>
      <c r="B19" s="34" t="s">
        <v>347</v>
      </c>
      <c r="C19" s="34" t="s">
        <v>348</v>
      </c>
      <c r="D19" s="36" t="s">
        <v>258</v>
      </c>
      <c r="E19" s="34" t="s">
        <v>349</v>
      </c>
      <c r="F19" s="35" t="s">
        <v>185</v>
      </c>
      <c r="G19" s="34" t="s">
        <v>350</v>
      </c>
      <c r="H19" s="37" t="s">
        <v>261</v>
      </c>
      <c r="I19" s="52" t="s">
        <v>307</v>
      </c>
      <c r="J19" s="39" t="s">
        <v>45</v>
      </c>
      <c r="K19" s="41" t="s">
        <v>263</v>
      </c>
    </row>
    <row r="20" customFormat="false" ht="23.25" hidden="false" customHeight="true" outlineLevel="0" collapsed="false">
      <c r="A20" s="7" t="s">
        <v>351</v>
      </c>
      <c r="B20" s="7" t="s">
        <v>352</v>
      </c>
      <c r="C20" s="7" t="s">
        <v>288</v>
      </c>
      <c r="D20" s="42" t="s">
        <v>289</v>
      </c>
      <c r="E20" s="7" t="s">
        <v>353</v>
      </c>
      <c r="F20" s="62" t="s">
        <v>214</v>
      </c>
      <c r="G20" s="7" t="s">
        <v>354</v>
      </c>
      <c r="H20" s="44" t="s">
        <v>261</v>
      </c>
      <c r="I20" s="63" t="s">
        <v>307</v>
      </c>
      <c r="J20" s="8" t="s">
        <v>45</v>
      </c>
      <c r="K20" s="46" t="s">
        <v>263</v>
      </c>
    </row>
    <row r="21" customFormat="false" ht="23.25" hidden="false" customHeight="true" outlineLevel="0" collapsed="false">
      <c r="A21" s="11" t="s">
        <v>355</v>
      </c>
      <c r="B21" s="11" t="s">
        <v>356</v>
      </c>
      <c r="C21" s="11" t="s">
        <v>288</v>
      </c>
      <c r="D21" s="42" t="s">
        <v>289</v>
      </c>
      <c r="E21" s="11" t="s">
        <v>357</v>
      </c>
      <c r="F21" s="64" t="s">
        <v>214</v>
      </c>
      <c r="G21" s="11" t="s">
        <v>358</v>
      </c>
      <c r="H21" s="44" t="s">
        <v>261</v>
      </c>
      <c r="I21" s="65" t="s">
        <v>307</v>
      </c>
      <c r="J21" s="12" t="s">
        <v>45</v>
      </c>
      <c r="K21" s="50" t="s">
        <v>263</v>
      </c>
    </row>
    <row r="22" customFormat="false" ht="15" hidden="false" customHeight="true" outlineLevel="0" collapsed="false">
      <c r="A22" s="7" t="s">
        <v>359</v>
      </c>
      <c r="B22" s="7" t="s">
        <v>360</v>
      </c>
      <c r="C22" s="7" t="s">
        <v>288</v>
      </c>
      <c r="D22" s="42" t="s">
        <v>289</v>
      </c>
      <c r="E22" s="7" t="s">
        <v>361</v>
      </c>
      <c r="F22" s="62" t="s">
        <v>214</v>
      </c>
      <c r="G22" s="7" t="s">
        <v>362</v>
      </c>
      <c r="H22" s="44" t="s">
        <v>261</v>
      </c>
      <c r="I22" s="63" t="s">
        <v>307</v>
      </c>
      <c r="J22" s="8" t="s">
        <v>45</v>
      </c>
      <c r="K22" s="46" t="s">
        <v>263</v>
      </c>
    </row>
    <row r="23" customFormat="false" ht="23.25" hidden="false" customHeight="true" outlineLevel="0" collapsed="false">
      <c r="A23" s="11" t="s">
        <v>363</v>
      </c>
      <c r="B23" s="11" t="s">
        <v>364</v>
      </c>
      <c r="C23" s="11" t="s">
        <v>288</v>
      </c>
      <c r="D23" s="42" t="s">
        <v>289</v>
      </c>
      <c r="E23" s="11" t="s">
        <v>365</v>
      </c>
      <c r="F23" s="64" t="s">
        <v>214</v>
      </c>
      <c r="G23" s="11" t="s">
        <v>366</v>
      </c>
      <c r="H23" s="44" t="s">
        <v>261</v>
      </c>
      <c r="I23" s="65" t="s">
        <v>307</v>
      </c>
      <c r="J23" s="12" t="s">
        <v>45</v>
      </c>
      <c r="K23" s="50" t="s">
        <v>263</v>
      </c>
    </row>
    <row r="24" customFormat="false" ht="23.25" hidden="false" customHeight="true" outlineLevel="0" collapsed="false">
      <c r="A24" s="7" t="s">
        <v>367</v>
      </c>
      <c r="B24" s="7" t="s">
        <v>368</v>
      </c>
      <c r="C24" s="7" t="s">
        <v>369</v>
      </c>
      <c r="D24" s="42" t="s">
        <v>289</v>
      </c>
      <c r="E24" s="7" t="s">
        <v>370</v>
      </c>
      <c r="F24" s="66" t="s">
        <v>185</v>
      </c>
      <c r="G24" s="7" t="s">
        <v>371</v>
      </c>
      <c r="H24" s="44" t="s">
        <v>261</v>
      </c>
      <c r="I24" s="67" t="s">
        <v>372</v>
      </c>
      <c r="J24" s="8" t="s">
        <v>45</v>
      </c>
      <c r="K24" s="58" t="s">
        <v>263</v>
      </c>
    </row>
    <row r="25" customFormat="false" ht="23.25" hidden="false" customHeight="true" outlineLevel="0" collapsed="false">
      <c r="A25" s="11" t="s">
        <v>373</v>
      </c>
      <c r="B25" s="11" t="s">
        <v>374</v>
      </c>
      <c r="C25" s="11" t="s">
        <v>375</v>
      </c>
      <c r="D25" s="42" t="s">
        <v>289</v>
      </c>
      <c r="E25" s="11" t="s">
        <v>376</v>
      </c>
      <c r="F25" s="48" t="s">
        <v>185</v>
      </c>
      <c r="G25" s="11" t="s">
        <v>377</v>
      </c>
      <c r="H25" s="44" t="s">
        <v>261</v>
      </c>
      <c r="I25" s="68" t="s">
        <v>372</v>
      </c>
      <c r="J25" s="12" t="s">
        <v>45</v>
      </c>
      <c r="K25" s="58" t="s">
        <v>263</v>
      </c>
    </row>
    <row r="26" customFormat="false" ht="23.25" hidden="false" customHeight="true" outlineLevel="0" collapsed="false">
      <c r="A26" s="34" t="s">
        <v>378</v>
      </c>
      <c r="B26" s="34" t="s">
        <v>379</v>
      </c>
      <c r="C26" s="34" t="s">
        <v>380</v>
      </c>
      <c r="D26" s="36" t="s">
        <v>258</v>
      </c>
      <c r="E26" s="34" t="s">
        <v>381</v>
      </c>
      <c r="F26" s="35" t="s">
        <v>185</v>
      </c>
      <c r="G26" s="34" t="s">
        <v>382</v>
      </c>
      <c r="H26" s="37" t="s">
        <v>261</v>
      </c>
      <c r="I26" s="69" t="s">
        <v>372</v>
      </c>
      <c r="J26" s="39" t="s">
        <v>45</v>
      </c>
      <c r="K26" s="41" t="s">
        <v>263</v>
      </c>
    </row>
    <row r="27" customFormat="false" ht="23.25" hidden="false" customHeight="true" outlineLevel="0" collapsed="false">
      <c r="A27" s="34" t="s">
        <v>383</v>
      </c>
      <c r="B27" s="34" t="s">
        <v>384</v>
      </c>
      <c r="C27" s="34" t="s">
        <v>385</v>
      </c>
      <c r="D27" s="36" t="s">
        <v>258</v>
      </c>
      <c r="E27" s="34" t="s">
        <v>386</v>
      </c>
      <c r="F27" s="35" t="s">
        <v>185</v>
      </c>
      <c r="G27" s="34" t="s">
        <v>387</v>
      </c>
      <c r="H27" s="37" t="s">
        <v>261</v>
      </c>
      <c r="I27" s="38" t="s">
        <v>262</v>
      </c>
      <c r="J27" s="39" t="s">
        <v>23</v>
      </c>
      <c r="K27" s="41" t="s">
        <v>263</v>
      </c>
    </row>
    <row r="28" customFormat="false" ht="23.25" hidden="false" customHeight="true" outlineLevel="0" collapsed="false">
      <c r="A28" s="34" t="s">
        <v>388</v>
      </c>
      <c r="B28" s="34" t="s">
        <v>389</v>
      </c>
      <c r="C28" s="34" t="s">
        <v>390</v>
      </c>
      <c r="D28" s="36" t="s">
        <v>258</v>
      </c>
      <c r="E28" s="34" t="s">
        <v>391</v>
      </c>
      <c r="F28" s="35" t="s">
        <v>185</v>
      </c>
      <c r="G28" s="34" t="s">
        <v>392</v>
      </c>
      <c r="H28" s="37" t="s">
        <v>261</v>
      </c>
      <c r="I28" s="38" t="s">
        <v>262</v>
      </c>
      <c r="J28" s="39" t="s">
        <v>23</v>
      </c>
      <c r="K28" s="41" t="s">
        <v>263</v>
      </c>
    </row>
    <row r="29" customFormat="false" ht="23.25" hidden="false" customHeight="true" outlineLevel="0" collapsed="false">
      <c r="A29" s="11" t="s">
        <v>393</v>
      </c>
      <c r="B29" s="11" t="s">
        <v>394</v>
      </c>
      <c r="C29" s="11" t="s">
        <v>288</v>
      </c>
      <c r="D29" s="42" t="s">
        <v>258</v>
      </c>
      <c r="E29" s="11" t="s">
        <v>395</v>
      </c>
      <c r="F29" s="64" t="s">
        <v>214</v>
      </c>
      <c r="G29" s="11" t="s">
        <v>396</v>
      </c>
      <c r="H29" s="44" t="s">
        <v>261</v>
      </c>
      <c r="I29" s="70" t="s">
        <v>262</v>
      </c>
      <c r="J29" s="12" t="s">
        <v>23</v>
      </c>
      <c r="K29" s="50" t="s">
        <v>397</v>
      </c>
    </row>
    <row r="30" customFormat="false" ht="23.25" hidden="false" customHeight="true" outlineLevel="0" collapsed="false">
      <c r="A30" s="7" t="s">
        <v>398</v>
      </c>
      <c r="B30" s="7" t="s">
        <v>399</v>
      </c>
      <c r="C30" s="7" t="s">
        <v>288</v>
      </c>
      <c r="D30" s="42" t="s">
        <v>258</v>
      </c>
      <c r="E30" s="7" t="s">
        <v>400</v>
      </c>
      <c r="F30" s="66" t="s">
        <v>185</v>
      </c>
      <c r="G30" s="7" t="s">
        <v>401</v>
      </c>
      <c r="H30" s="44" t="s">
        <v>261</v>
      </c>
      <c r="I30" s="45" t="s">
        <v>262</v>
      </c>
      <c r="J30" s="8" t="s">
        <v>23</v>
      </c>
      <c r="K30" s="46" t="s">
        <v>263</v>
      </c>
    </row>
    <row r="31" customFormat="false" ht="15" hidden="false" customHeight="true" outlineLevel="0" collapsed="false">
      <c r="A31" s="11" t="s">
        <v>402</v>
      </c>
      <c r="B31" s="11" t="s">
        <v>403</v>
      </c>
      <c r="C31" s="11" t="s">
        <v>404</v>
      </c>
      <c r="D31" s="53" t="s">
        <v>258</v>
      </c>
      <c r="E31" s="11" t="s">
        <v>288</v>
      </c>
      <c r="F31" s="11" t="s">
        <v>288</v>
      </c>
      <c r="G31" s="11" t="s">
        <v>405</v>
      </c>
      <c r="H31" s="54" t="s">
        <v>261</v>
      </c>
      <c r="I31" s="55" t="s">
        <v>288</v>
      </c>
      <c r="J31" s="12" t="s">
        <v>288</v>
      </c>
      <c r="K31" s="56" t="s">
        <v>263</v>
      </c>
    </row>
    <row r="32" customFormat="false" ht="23.25" hidden="false" customHeight="true" outlineLevel="0" collapsed="false">
      <c r="A32" s="34" t="s">
        <v>406</v>
      </c>
      <c r="B32" s="34" t="s">
        <v>407</v>
      </c>
      <c r="C32" s="34" t="s">
        <v>408</v>
      </c>
      <c r="D32" s="36" t="s">
        <v>258</v>
      </c>
      <c r="E32" s="34" t="s">
        <v>409</v>
      </c>
      <c r="F32" s="35" t="s">
        <v>185</v>
      </c>
      <c r="G32" s="34" t="s">
        <v>410</v>
      </c>
      <c r="H32" s="37" t="s">
        <v>261</v>
      </c>
      <c r="I32" s="47" t="s">
        <v>280</v>
      </c>
      <c r="J32" s="39" t="s">
        <v>17</v>
      </c>
      <c r="K32" s="41" t="s">
        <v>263</v>
      </c>
    </row>
    <row r="33" customFormat="false" ht="23.25" hidden="false" customHeight="true" outlineLevel="0" collapsed="false">
      <c r="A33" s="11" t="s">
        <v>411</v>
      </c>
      <c r="B33" s="11" t="s">
        <v>412</v>
      </c>
      <c r="C33" s="11" t="s">
        <v>288</v>
      </c>
      <c r="D33" s="42" t="s">
        <v>258</v>
      </c>
      <c r="E33" s="11" t="s">
        <v>413</v>
      </c>
      <c r="F33" s="11" t="s">
        <v>240</v>
      </c>
      <c r="G33" s="11" t="s">
        <v>396</v>
      </c>
      <c r="H33" s="44" t="s">
        <v>261</v>
      </c>
      <c r="I33" s="71" t="s">
        <v>414</v>
      </c>
      <c r="J33" s="12" t="s">
        <v>34</v>
      </c>
      <c r="K33" s="50" t="s">
        <v>397</v>
      </c>
    </row>
    <row r="34" customFormat="false" ht="15" hidden="false" customHeight="true" outlineLevel="0" collapsed="false">
      <c r="A34" s="7" t="s">
        <v>415</v>
      </c>
      <c r="B34" s="7" t="s">
        <v>416</v>
      </c>
      <c r="C34" s="7" t="s">
        <v>288</v>
      </c>
      <c r="D34" s="42" t="s">
        <v>258</v>
      </c>
      <c r="E34" s="7" t="s">
        <v>417</v>
      </c>
      <c r="F34" s="62" t="s">
        <v>214</v>
      </c>
      <c r="G34" s="7" t="s">
        <v>418</v>
      </c>
      <c r="H34" s="44" t="s">
        <v>261</v>
      </c>
      <c r="I34" s="45" t="s">
        <v>262</v>
      </c>
      <c r="J34" s="8" t="s">
        <v>23</v>
      </c>
      <c r="K34" s="46" t="s">
        <v>263</v>
      </c>
    </row>
    <row r="35" customFormat="false" ht="15" hidden="false" customHeight="true" outlineLevel="0" collapsed="false">
      <c r="A35" s="11" t="s">
        <v>419</v>
      </c>
      <c r="B35" s="11" t="s">
        <v>420</v>
      </c>
      <c r="C35" s="11" t="s">
        <v>288</v>
      </c>
      <c r="D35" s="42" t="s">
        <v>258</v>
      </c>
      <c r="E35" s="11" t="s">
        <v>421</v>
      </c>
      <c r="F35" s="64" t="s">
        <v>214</v>
      </c>
      <c r="G35" s="11" t="s">
        <v>396</v>
      </c>
      <c r="H35" s="44" t="s">
        <v>261</v>
      </c>
      <c r="I35" s="68" t="s">
        <v>372</v>
      </c>
      <c r="J35" s="12" t="s">
        <v>45</v>
      </c>
      <c r="K35" s="50" t="s">
        <v>397</v>
      </c>
    </row>
    <row r="36" customFormat="false" ht="23.25" hidden="false" customHeight="true" outlineLevel="0" collapsed="false">
      <c r="A36" s="7" t="s">
        <v>422</v>
      </c>
      <c r="B36" s="7" t="s">
        <v>423</v>
      </c>
      <c r="C36" s="7" t="s">
        <v>288</v>
      </c>
      <c r="D36" s="42" t="s">
        <v>258</v>
      </c>
      <c r="E36" s="7" t="s">
        <v>424</v>
      </c>
      <c r="F36" s="7" t="s">
        <v>240</v>
      </c>
      <c r="G36" s="7" t="s">
        <v>396</v>
      </c>
      <c r="H36" s="44" t="s">
        <v>261</v>
      </c>
      <c r="I36" s="67" t="s">
        <v>372</v>
      </c>
      <c r="J36" s="8" t="s">
        <v>45</v>
      </c>
      <c r="K36" s="46" t="s">
        <v>397</v>
      </c>
    </row>
    <row r="37" customFormat="false" ht="15" hidden="false" customHeight="true" outlineLevel="0" collapsed="false">
      <c r="A37" s="11" t="s">
        <v>425</v>
      </c>
      <c r="B37" s="11" t="s">
        <v>426</v>
      </c>
      <c r="C37" s="11" t="s">
        <v>288</v>
      </c>
      <c r="D37" s="42" t="s">
        <v>258</v>
      </c>
      <c r="E37" s="11" t="s">
        <v>427</v>
      </c>
      <c r="F37" s="11" t="s">
        <v>240</v>
      </c>
      <c r="G37" s="11" t="s">
        <v>396</v>
      </c>
      <c r="H37" s="44" t="s">
        <v>261</v>
      </c>
      <c r="I37" s="68" t="s">
        <v>372</v>
      </c>
      <c r="J37" s="12" t="s">
        <v>45</v>
      </c>
      <c r="K37" s="50" t="s">
        <v>397</v>
      </c>
    </row>
    <row r="38" customFormat="false" ht="23.25" hidden="false" customHeight="true" outlineLevel="0" collapsed="false">
      <c r="A38" s="7" t="s">
        <v>428</v>
      </c>
      <c r="B38" s="7" t="s">
        <v>429</v>
      </c>
      <c r="C38" s="7" t="s">
        <v>430</v>
      </c>
      <c r="D38" s="42" t="s">
        <v>258</v>
      </c>
      <c r="E38" s="7" t="s">
        <v>431</v>
      </c>
      <c r="F38" s="66" t="s">
        <v>185</v>
      </c>
      <c r="G38" s="7" t="s">
        <v>396</v>
      </c>
      <c r="H38" s="44" t="s">
        <v>261</v>
      </c>
      <c r="I38" s="67" t="s">
        <v>372</v>
      </c>
      <c r="J38" s="8" t="s">
        <v>45</v>
      </c>
      <c r="K38" s="46" t="s">
        <v>274</v>
      </c>
    </row>
    <row r="39" customFormat="false" ht="15" hidden="false" customHeight="true" outlineLevel="0" collapsed="false">
      <c r="A39" s="11" t="s">
        <v>432</v>
      </c>
      <c r="B39" s="11" t="s">
        <v>433</v>
      </c>
      <c r="C39" s="11" t="s">
        <v>434</v>
      </c>
      <c r="D39" s="42" t="s">
        <v>258</v>
      </c>
      <c r="E39" s="11" t="s">
        <v>435</v>
      </c>
      <c r="F39" s="48" t="s">
        <v>185</v>
      </c>
      <c r="G39" s="11" t="s">
        <v>396</v>
      </c>
      <c r="H39" s="44" t="s">
        <v>261</v>
      </c>
      <c r="I39" s="68" t="s">
        <v>372</v>
      </c>
      <c r="J39" s="12" t="s">
        <v>45</v>
      </c>
      <c r="K39" s="50" t="s">
        <v>274</v>
      </c>
    </row>
    <row r="40" customFormat="false" ht="23.25" hidden="false" customHeight="true" outlineLevel="0" collapsed="false">
      <c r="A40" s="7" t="s">
        <v>436</v>
      </c>
      <c r="B40" s="7" t="s">
        <v>437</v>
      </c>
      <c r="C40" s="7" t="s">
        <v>438</v>
      </c>
      <c r="D40" s="42" t="s">
        <v>258</v>
      </c>
      <c r="E40" s="7" t="s">
        <v>439</v>
      </c>
      <c r="F40" s="66" t="s">
        <v>185</v>
      </c>
      <c r="G40" s="7" t="s">
        <v>396</v>
      </c>
      <c r="H40" s="44" t="s">
        <v>261</v>
      </c>
      <c r="I40" s="67" t="s">
        <v>372</v>
      </c>
      <c r="J40" s="8" t="s">
        <v>45</v>
      </c>
      <c r="K40" s="46" t="s">
        <v>274</v>
      </c>
    </row>
    <row r="42" customFormat="false" ht="15" hidden="false" customHeight="true" outlineLevel="0" collapsed="false">
      <c r="A42" s="72" t="s">
        <v>440</v>
      </c>
    </row>
    <row r="43" customFormat="false" ht="15" hidden="false" customHeight="true" outlineLevel="0" collapsed="false">
      <c r="A43" s="1" t="s">
        <v>441</v>
      </c>
      <c r="B43" s="1" t="s">
        <v>442</v>
      </c>
      <c r="C43" s="1" t="s">
        <v>443</v>
      </c>
      <c r="D43" s="1" t="s">
        <v>159</v>
      </c>
      <c r="E43" s="1" t="s">
        <v>444</v>
      </c>
      <c r="F43" s="1" t="s">
        <v>185</v>
      </c>
      <c r="G43" s="1" t="s">
        <v>445</v>
      </c>
      <c r="H43" s="1" t="s">
        <v>446</v>
      </c>
    </row>
    <row r="44" customFormat="false" ht="15" hidden="false" customHeight="true" outlineLevel="0" collapsed="false">
      <c r="A44" s="1" t="s">
        <v>447</v>
      </c>
      <c r="B44" s="1" t="s">
        <v>448</v>
      </c>
      <c r="C44" s="1" t="s">
        <v>449</v>
      </c>
      <c r="D44" s="1" t="s">
        <v>159</v>
      </c>
      <c r="E44" s="1" t="s">
        <v>450</v>
      </c>
      <c r="F44" s="1" t="s">
        <v>185</v>
      </c>
      <c r="G44" s="1" t="s">
        <v>451</v>
      </c>
      <c r="H44" s="1" t="s">
        <v>446</v>
      </c>
    </row>
    <row r="45" customFormat="false" ht="15" hidden="false" customHeight="true" outlineLevel="0" collapsed="false">
      <c r="A45" s="1" t="s">
        <v>452</v>
      </c>
      <c r="B45" s="1" t="s">
        <v>453</v>
      </c>
      <c r="C45" s="1" t="s">
        <v>454</v>
      </c>
      <c r="D45" s="1" t="s">
        <v>159</v>
      </c>
      <c r="E45" s="1" t="s">
        <v>455</v>
      </c>
      <c r="F45" s="1" t="s">
        <v>185</v>
      </c>
      <c r="G45" s="1" t="s">
        <v>456</v>
      </c>
      <c r="H45" s="1" t="s">
        <v>446</v>
      </c>
    </row>
    <row r="46" customFormat="false" ht="15" hidden="false" customHeight="true" outlineLevel="0" collapsed="false">
      <c r="A46" s="1" t="s">
        <v>457</v>
      </c>
      <c r="B46" s="1" t="s">
        <v>458</v>
      </c>
      <c r="C46" s="1" t="s">
        <v>459</v>
      </c>
      <c r="D46" s="1" t="s">
        <v>159</v>
      </c>
      <c r="E46" s="1" t="s">
        <v>460</v>
      </c>
      <c r="F46" s="1" t="s">
        <v>214</v>
      </c>
      <c r="G46" s="1" t="s">
        <v>461</v>
      </c>
      <c r="H46" s="1" t="s">
        <v>446</v>
      </c>
    </row>
  </sheetData>
  <autoFilter ref="A1:K40"/>
  <dataValidations count="3">
    <dataValidation allowBlank="true" error="Use ☐ or ☑" errorStyle="stop" errorTitle="Invalid" operator="between" showDropDown="false" showErrorMessage="false" showInputMessage="false" sqref="H2:H40" type="list">
      <formula1>"☐,☑"</formula1>
      <formula2>0</formula2>
    </dataValidation>
    <dataValidation allowBlank="true" errorStyle="stop" operator="between" showDropDown="false" showErrorMessage="false" showInputMessage="false" sqref="I2:I40" type="list">
      <formula1>"AR,PK,VS,NK,DM,SP,RG,AM,KS,PAIR,ALL"</formula1>
      <formula2>0</formula2>
    </dataValidation>
    <dataValidation allowBlank="true" errorStyle="stop" operator="between" showDropDown="false" showErrorMessage="false" showInputMessage="false" sqref="K2:K40" type="list">
      <formula1>"NOT STARTED,IN PROGRESS,IN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ACC15"/>
    <pageSetUpPr fitToPage="false"/>
  </sheetPr>
  <dimension ref="A1:J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defaultColWidth="8.66796875" defaultRowHeight="15" customHeight="true" zeroHeight="false" outlineLevelRow="0" outlineLevelCol="0"/>
  <cols>
    <col collapsed="false" customWidth="true" hidden="false" outlineLevel="0" max="1" min="1" style="1" width="25"/>
    <col collapsed="false" customWidth="true" hidden="false" outlineLevel="0" max="2" min="2" style="1" width="40"/>
    <col collapsed="false" customWidth="true" hidden="false" outlineLevel="0" max="3" min="3" style="1" width="22"/>
    <col collapsed="false" customWidth="true" hidden="false" outlineLevel="0" max="4" min="4" style="1" width="12"/>
    <col collapsed="false" customWidth="true" hidden="false" outlineLevel="0" max="5" min="5" style="1" width="65"/>
    <col collapsed="false" customWidth="true" hidden="false" outlineLevel="0" max="6" min="6" style="1" width="8"/>
    <col collapsed="false" customWidth="true" hidden="false" outlineLevel="0" max="7" min="7" style="1" width="7"/>
    <col collapsed="false" customWidth="true" hidden="false" outlineLevel="0" max="8" min="8" style="1" width="18"/>
    <col collapsed="false" customWidth="true" hidden="false" outlineLevel="0" max="10" min="9" style="1" width="16"/>
  </cols>
  <sheetData>
    <row r="1" customFormat="false" ht="26.25" hidden="false" customHeight="true" outlineLevel="0" collapsed="false">
      <c r="A1" s="4" t="s">
        <v>462</v>
      </c>
      <c r="B1" s="4" t="s">
        <v>463</v>
      </c>
      <c r="C1" s="4" t="s">
        <v>464</v>
      </c>
      <c r="D1" s="4" t="s">
        <v>150</v>
      </c>
      <c r="E1" s="4" t="s">
        <v>465</v>
      </c>
      <c r="F1" s="4" t="s">
        <v>143</v>
      </c>
      <c r="G1" s="4" t="s">
        <v>252</v>
      </c>
      <c r="H1" s="4" t="s">
        <v>253</v>
      </c>
      <c r="I1" s="4" t="s">
        <v>5</v>
      </c>
      <c r="J1" s="4" t="s">
        <v>254</v>
      </c>
    </row>
    <row r="2" customFormat="false" ht="23.25" hidden="false" customHeight="true" outlineLevel="0" collapsed="false">
      <c r="A2" s="34" t="s">
        <v>466</v>
      </c>
      <c r="B2" s="34" t="s">
        <v>467</v>
      </c>
      <c r="C2" s="34" t="s">
        <v>468</v>
      </c>
      <c r="D2" s="35" t="s">
        <v>258</v>
      </c>
      <c r="E2" s="34" t="s">
        <v>469</v>
      </c>
      <c r="F2" s="35" t="s">
        <v>185</v>
      </c>
      <c r="G2" s="37" t="s">
        <v>261</v>
      </c>
      <c r="H2" s="73" t="s">
        <v>414</v>
      </c>
      <c r="I2" s="39" t="s">
        <v>34</v>
      </c>
      <c r="J2" s="40" t="s">
        <v>263</v>
      </c>
    </row>
    <row r="3" customFormat="false" ht="23.25" hidden="false" customHeight="true" outlineLevel="0" collapsed="false">
      <c r="A3" s="34" t="s">
        <v>470</v>
      </c>
      <c r="B3" s="34" t="s">
        <v>471</v>
      </c>
      <c r="C3" s="34" t="s">
        <v>472</v>
      </c>
      <c r="D3" s="35" t="s">
        <v>258</v>
      </c>
      <c r="E3" s="34" t="s">
        <v>473</v>
      </c>
      <c r="F3" s="36" t="s">
        <v>153</v>
      </c>
      <c r="G3" s="37" t="s">
        <v>261</v>
      </c>
      <c r="H3" s="74" t="s">
        <v>474</v>
      </c>
      <c r="I3" s="39" t="s">
        <v>34</v>
      </c>
      <c r="J3" s="41" t="s">
        <v>263</v>
      </c>
    </row>
    <row r="4" customFormat="false" ht="23.25" hidden="false" customHeight="true" outlineLevel="0" collapsed="false">
      <c r="A4" s="34" t="s">
        <v>475</v>
      </c>
      <c r="B4" s="34" t="s">
        <v>476</v>
      </c>
      <c r="C4" s="34" t="s">
        <v>477</v>
      </c>
      <c r="D4" s="36" t="s">
        <v>258</v>
      </c>
      <c r="E4" s="34" t="s">
        <v>478</v>
      </c>
      <c r="F4" s="36" t="s">
        <v>153</v>
      </c>
      <c r="G4" s="37" t="s">
        <v>261</v>
      </c>
      <c r="H4" s="74" t="s">
        <v>474</v>
      </c>
      <c r="I4" s="39" t="s">
        <v>34</v>
      </c>
      <c r="J4" s="41" t="s">
        <v>263</v>
      </c>
    </row>
    <row r="5" customFormat="false" ht="23.25" hidden="false" customHeight="true" outlineLevel="0" collapsed="false">
      <c r="A5" s="34" t="s">
        <v>479</v>
      </c>
      <c r="B5" s="34" t="s">
        <v>480</v>
      </c>
      <c r="C5" s="34" t="s">
        <v>481</v>
      </c>
      <c r="D5" s="35" t="s">
        <v>258</v>
      </c>
      <c r="E5" s="34" t="s">
        <v>482</v>
      </c>
      <c r="F5" s="36" t="s">
        <v>153</v>
      </c>
      <c r="G5" s="37" t="s">
        <v>261</v>
      </c>
      <c r="H5" s="74" t="s">
        <v>474</v>
      </c>
      <c r="I5" s="39" t="s">
        <v>34</v>
      </c>
      <c r="J5" s="41" t="s">
        <v>263</v>
      </c>
    </row>
    <row r="6" customFormat="false" ht="34.5" hidden="false" customHeight="true" outlineLevel="0" collapsed="false">
      <c r="A6" s="34" t="s">
        <v>483</v>
      </c>
      <c r="B6" s="34" t="s">
        <v>484</v>
      </c>
      <c r="C6" s="34" t="s">
        <v>485</v>
      </c>
      <c r="D6" s="36" t="s">
        <v>258</v>
      </c>
      <c r="E6" s="34" t="s">
        <v>486</v>
      </c>
      <c r="F6" s="36" t="s">
        <v>153</v>
      </c>
      <c r="G6" s="37" t="s">
        <v>261</v>
      </c>
      <c r="H6" s="74" t="s">
        <v>474</v>
      </c>
      <c r="I6" s="39" t="s">
        <v>34</v>
      </c>
      <c r="J6" s="41" t="s">
        <v>263</v>
      </c>
    </row>
    <row r="7" customFormat="false" ht="23.25" hidden="false" customHeight="true" outlineLevel="0" collapsed="false">
      <c r="A7" s="11" t="s">
        <v>487</v>
      </c>
      <c r="B7" s="11" t="s">
        <v>488</v>
      </c>
      <c r="C7" s="11" t="s">
        <v>288</v>
      </c>
      <c r="D7" s="42" t="s">
        <v>258</v>
      </c>
      <c r="E7" s="11" t="s">
        <v>489</v>
      </c>
      <c r="F7" s="59" t="s">
        <v>153</v>
      </c>
      <c r="G7" s="44" t="s">
        <v>261</v>
      </c>
      <c r="H7" s="75" t="s">
        <v>474</v>
      </c>
      <c r="I7" s="12" t="s">
        <v>34</v>
      </c>
      <c r="J7" s="50" t="s">
        <v>263</v>
      </c>
    </row>
    <row r="8" customFormat="false" ht="15" hidden="false" customHeight="true" outlineLevel="0" collapsed="false">
      <c r="A8" s="7" t="s">
        <v>490</v>
      </c>
      <c r="B8" s="7" t="s">
        <v>491</v>
      </c>
      <c r="C8" s="7" t="s">
        <v>492</v>
      </c>
      <c r="D8" s="42" t="s">
        <v>258</v>
      </c>
      <c r="E8" s="7" t="s">
        <v>493</v>
      </c>
      <c r="F8" s="66" t="s">
        <v>185</v>
      </c>
      <c r="G8" s="44" t="s">
        <v>261</v>
      </c>
      <c r="H8" s="76" t="s">
        <v>474</v>
      </c>
      <c r="I8" s="8" t="s">
        <v>34</v>
      </c>
      <c r="J8" s="58" t="s">
        <v>263</v>
      </c>
    </row>
    <row r="9" customFormat="false" ht="15" hidden="false" customHeight="true" outlineLevel="0" collapsed="false">
      <c r="A9" s="11" t="s">
        <v>494</v>
      </c>
      <c r="B9" s="11" t="s">
        <v>495</v>
      </c>
      <c r="C9" s="11" t="s">
        <v>288</v>
      </c>
      <c r="D9" s="42" t="s">
        <v>258</v>
      </c>
      <c r="E9" s="11" t="s">
        <v>496</v>
      </c>
      <c r="F9" s="48" t="s">
        <v>185</v>
      </c>
      <c r="G9" s="44" t="s">
        <v>261</v>
      </c>
      <c r="H9" s="75" t="s">
        <v>474</v>
      </c>
      <c r="I9" s="12" t="s">
        <v>34</v>
      </c>
      <c r="J9" s="50" t="s">
        <v>263</v>
      </c>
    </row>
    <row r="10" customFormat="false" ht="15" hidden="false" customHeight="true" outlineLevel="0" collapsed="false">
      <c r="A10" s="7" t="s">
        <v>497</v>
      </c>
      <c r="B10" s="7" t="s">
        <v>498</v>
      </c>
      <c r="C10" s="7" t="s">
        <v>288</v>
      </c>
      <c r="D10" s="42" t="s">
        <v>289</v>
      </c>
      <c r="E10" s="7" t="s">
        <v>499</v>
      </c>
      <c r="F10" s="66" t="s">
        <v>185</v>
      </c>
      <c r="G10" s="44" t="s">
        <v>446</v>
      </c>
      <c r="H10" s="76" t="s">
        <v>474</v>
      </c>
      <c r="I10" s="8" t="s">
        <v>34</v>
      </c>
      <c r="J10" s="46" t="s">
        <v>397</v>
      </c>
    </row>
    <row r="11" customFormat="false" ht="23.25" hidden="false" customHeight="true" outlineLevel="0" collapsed="false">
      <c r="A11" s="34" t="s">
        <v>500</v>
      </c>
      <c r="B11" s="34" t="s">
        <v>501</v>
      </c>
      <c r="C11" s="34" t="s">
        <v>502</v>
      </c>
      <c r="D11" s="35" t="s">
        <v>258</v>
      </c>
      <c r="E11" s="34" t="s">
        <v>503</v>
      </c>
      <c r="F11" s="36" t="s">
        <v>153</v>
      </c>
      <c r="G11" s="37" t="s">
        <v>261</v>
      </c>
      <c r="H11" s="73" t="s">
        <v>414</v>
      </c>
      <c r="I11" s="39" t="s">
        <v>34</v>
      </c>
      <c r="J11" s="40" t="s">
        <v>263</v>
      </c>
    </row>
    <row r="12" customFormat="false" ht="23.25" hidden="false" customHeight="true" outlineLevel="0" collapsed="false">
      <c r="A12" s="34" t="s">
        <v>504</v>
      </c>
      <c r="B12" s="34" t="s">
        <v>505</v>
      </c>
      <c r="C12" s="34" t="s">
        <v>506</v>
      </c>
      <c r="D12" s="36" t="s">
        <v>258</v>
      </c>
      <c r="E12" s="34" t="s">
        <v>507</v>
      </c>
      <c r="F12" s="36" t="s">
        <v>153</v>
      </c>
      <c r="G12" s="37" t="s">
        <v>261</v>
      </c>
      <c r="H12" s="74" t="s">
        <v>474</v>
      </c>
      <c r="I12" s="39" t="s">
        <v>34</v>
      </c>
      <c r="J12" s="41" t="s">
        <v>263</v>
      </c>
    </row>
    <row r="13" customFormat="false" ht="23.25" hidden="false" customHeight="true" outlineLevel="0" collapsed="false">
      <c r="A13" s="34" t="s">
        <v>508</v>
      </c>
      <c r="B13" s="34" t="s">
        <v>509</v>
      </c>
      <c r="C13" s="34" t="s">
        <v>510</v>
      </c>
      <c r="D13" s="36" t="s">
        <v>258</v>
      </c>
      <c r="E13" s="34" t="s">
        <v>511</v>
      </c>
      <c r="F13" s="36" t="s">
        <v>153</v>
      </c>
      <c r="G13" s="37" t="s">
        <v>261</v>
      </c>
      <c r="H13" s="74" t="s">
        <v>474</v>
      </c>
      <c r="I13" s="39" t="s">
        <v>34</v>
      </c>
      <c r="J13" s="41" t="s">
        <v>263</v>
      </c>
    </row>
    <row r="14" customFormat="false" ht="15" hidden="false" customHeight="true" outlineLevel="0" collapsed="false">
      <c r="A14" s="7" t="s">
        <v>512</v>
      </c>
      <c r="B14" s="7" t="s">
        <v>513</v>
      </c>
      <c r="C14" s="7" t="s">
        <v>514</v>
      </c>
      <c r="D14" s="42" t="s">
        <v>258</v>
      </c>
      <c r="E14" s="7" t="s">
        <v>515</v>
      </c>
      <c r="F14" s="66" t="s">
        <v>185</v>
      </c>
      <c r="G14" s="44" t="s">
        <v>261</v>
      </c>
      <c r="H14" s="76" t="s">
        <v>474</v>
      </c>
      <c r="I14" s="8" t="s">
        <v>34</v>
      </c>
      <c r="J14" s="58" t="s">
        <v>263</v>
      </c>
    </row>
    <row r="15" customFormat="false" ht="23.25" hidden="false" customHeight="true" outlineLevel="0" collapsed="false">
      <c r="A15" s="34" t="s">
        <v>516</v>
      </c>
      <c r="B15" s="34" t="s">
        <v>517</v>
      </c>
      <c r="C15" s="34" t="s">
        <v>518</v>
      </c>
      <c r="D15" s="35" t="s">
        <v>258</v>
      </c>
      <c r="E15" s="34" t="s">
        <v>519</v>
      </c>
      <c r="F15" s="35" t="s">
        <v>185</v>
      </c>
      <c r="G15" s="37" t="s">
        <v>261</v>
      </c>
      <c r="H15" s="73" t="s">
        <v>414</v>
      </c>
      <c r="I15" s="39" t="s">
        <v>34</v>
      </c>
      <c r="J15" s="40" t="s">
        <v>263</v>
      </c>
    </row>
    <row r="16" customFormat="false" ht="23.25" hidden="false" customHeight="true" outlineLevel="0" collapsed="false">
      <c r="A16" s="34" t="s">
        <v>520</v>
      </c>
      <c r="B16" s="34" t="s">
        <v>521</v>
      </c>
      <c r="C16" s="34" t="s">
        <v>522</v>
      </c>
      <c r="D16" s="35" t="s">
        <v>258</v>
      </c>
      <c r="E16" s="34" t="s">
        <v>523</v>
      </c>
      <c r="F16" s="36" t="s">
        <v>153</v>
      </c>
      <c r="G16" s="37" t="s">
        <v>261</v>
      </c>
      <c r="H16" s="74" t="s">
        <v>474</v>
      </c>
      <c r="I16" s="39" t="s">
        <v>34</v>
      </c>
      <c r="J16" s="41" t="s">
        <v>263</v>
      </c>
    </row>
    <row r="17" customFormat="false" ht="23.25" hidden="false" customHeight="true" outlineLevel="0" collapsed="false">
      <c r="A17" s="34" t="s">
        <v>524</v>
      </c>
      <c r="B17" s="34" t="s">
        <v>525</v>
      </c>
      <c r="C17" s="34" t="s">
        <v>526</v>
      </c>
      <c r="D17" s="35" t="s">
        <v>258</v>
      </c>
      <c r="E17" s="34" t="s">
        <v>527</v>
      </c>
      <c r="F17" s="35" t="s">
        <v>185</v>
      </c>
      <c r="G17" s="37" t="s">
        <v>261</v>
      </c>
      <c r="H17" s="73" t="s">
        <v>414</v>
      </c>
      <c r="I17" s="39" t="s">
        <v>34</v>
      </c>
      <c r="J17" s="40" t="s">
        <v>263</v>
      </c>
    </row>
    <row r="18" customFormat="false" ht="23.25" hidden="false" customHeight="true" outlineLevel="0" collapsed="false">
      <c r="A18" s="34" t="s">
        <v>528</v>
      </c>
      <c r="B18" s="34" t="s">
        <v>529</v>
      </c>
      <c r="C18" s="34" t="s">
        <v>530</v>
      </c>
      <c r="D18" s="36" t="s">
        <v>258</v>
      </c>
      <c r="E18" s="34" t="s">
        <v>531</v>
      </c>
      <c r="F18" s="36" t="s">
        <v>153</v>
      </c>
      <c r="G18" s="37" t="s">
        <v>261</v>
      </c>
      <c r="H18" s="74" t="s">
        <v>474</v>
      </c>
      <c r="I18" s="39" t="s">
        <v>34</v>
      </c>
      <c r="J18" s="41" t="s">
        <v>263</v>
      </c>
    </row>
    <row r="19" customFormat="false" ht="23.25" hidden="false" customHeight="true" outlineLevel="0" collapsed="false">
      <c r="A19" s="11" t="s">
        <v>532</v>
      </c>
      <c r="B19" s="11" t="s">
        <v>533</v>
      </c>
      <c r="C19" s="11" t="s">
        <v>534</v>
      </c>
      <c r="D19" s="42" t="s">
        <v>258</v>
      </c>
      <c r="E19" s="11" t="s">
        <v>535</v>
      </c>
      <c r="F19" s="59" t="s">
        <v>153</v>
      </c>
      <c r="G19" s="44" t="s">
        <v>261</v>
      </c>
      <c r="H19" s="75" t="s">
        <v>474</v>
      </c>
      <c r="I19" s="12" t="s">
        <v>34</v>
      </c>
      <c r="J19" s="58" t="s">
        <v>263</v>
      </c>
    </row>
    <row r="20" customFormat="false" ht="23.25" hidden="false" customHeight="true" outlineLevel="0" collapsed="false">
      <c r="A20" s="34" t="s">
        <v>536</v>
      </c>
      <c r="B20" s="34" t="s">
        <v>537</v>
      </c>
      <c r="C20" s="34" t="s">
        <v>538</v>
      </c>
      <c r="D20" s="35" t="s">
        <v>258</v>
      </c>
      <c r="E20" s="34" t="s">
        <v>539</v>
      </c>
      <c r="F20" s="35" t="s">
        <v>185</v>
      </c>
      <c r="G20" s="37" t="s">
        <v>261</v>
      </c>
      <c r="H20" s="73" t="s">
        <v>414</v>
      </c>
      <c r="I20" s="39" t="s">
        <v>34</v>
      </c>
      <c r="J20" s="40" t="s">
        <v>263</v>
      </c>
    </row>
    <row r="21" customFormat="false" ht="23.25" hidden="false" customHeight="true" outlineLevel="0" collapsed="false">
      <c r="A21" s="34" t="s">
        <v>540</v>
      </c>
      <c r="B21" s="34" t="s">
        <v>541</v>
      </c>
      <c r="C21" s="34" t="s">
        <v>542</v>
      </c>
      <c r="D21" s="35" t="s">
        <v>258</v>
      </c>
      <c r="E21" s="34" t="s">
        <v>543</v>
      </c>
      <c r="F21" s="36" t="s">
        <v>153</v>
      </c>
      <c r="G21" s="37" t="s">
        <v>261</v>
      </c>
      <c r="H21" s="52" t="s">
        <v>307</v>
      </c>
      <c r="I21" s="39" t="s">
        <v>45</v>
      </c>
      <c r="J21" s="41" t="s">
        <v>263</v>
      </c>
    </row>
    <row r="22" customFormat="false" ht="23.25" hidden="false" customHeight="true" outlineLevel="0" collapsed="false">
      <c r="A22" s="34" t="s">
        <v>45</v>
      </c>
      <c r="B22" s="34" t="s">
        <v>544</v>
      </c>
      <c r="C22" s="34" t="s">
        <v>545</v>
      </c>
      <c r="D22" s="35" t="s">
        <v>258</v>
      </c>
      <c r="E22" s="34" t="s">
        <v>546</v>
      </c>
      <c r="F22" s="35" t="s">
        <v>185</v>
      </c>
      <c r="G22" s="37" t="s">
        <v>261</v>
      </c>
      <c r="H22" s="52" t="s">
        <v>307</v>
      </c>
      <c r="I22" s="39" t="s">
        <v>45</v>
      </c>
      <c r="J22" s="41" t="s">
        <v>263</v>
      </c>
    </row>
    <row r="23" customFormat="false" ht="23.25" hidden="false" customHeight="true" outlineLevel="0" collapsed="false">
      <c r="A23" s="34" t="s">
        <v>547</v>
      </c>
      <c r="B23" s="34" t="s">
        <v>548</v>
      </c>
      <c r="C23" s="34" t="s">
        <v>549</v>
      </c>
      <c r="D23" s="35" t="s">
        <v>258</v>
      </c>
      <c r="E23" s="34" t="s">
        <v>550</v>
      </c>
      <c r="F23" s="35" t="s">
        <v>185</v>
      </c>
      <c r="G23" s="37" t="s">
        <v>261</v>
      </c>
      <c r="H23" s="73" t="s">
        <v>414</v>
      </c>
      <c r="I23" s="39" t="s">
        <v>34</v>
      </c>
      <c r="J23" s="40" t="s">
        <v>263</v>
      </c>
    </row>
    <row r="24" customFormat="false" ht="15" hidden="false" customHeight="true" outlineLevel="0" collapsed="false">
      <c r="A24" s="34" t="s">
        <v>551</v>
      </c>
      <c r="B24" s="34" t="s">
        <v>552</v>
      </c>
      <c r="C24" s="34" t="s">
        <v>553</v>
      </c>
      <c r="D24" s="35" t="s">
        <v>258</v>
      </c>
      <c r="E24" s="34" t="s">
        <v>554</v>
      </c>
      <c r="F24" s="35" t="s">
        <v>185</v>
      </c>
      <c r="G24" s="37" t="s">
        <v>261</v>
      </c>
      <c r="H24" s="73" t="s">
        <v>414</v>
      </c>
      <c r="I24" s="39" t="s">
        <v>34</v>
      </c>
      <c r="J24" s="41" t="s">
        <v>263</v>
      </c>
    </row>
    <row r="25" customFormat="false" ht="23.25" hidden="false" customHeight="true" outlineLevel="0" collapsed="false">
      <c r="A25" s="34" t="s">
        <v>555</v>
      </c>
      <c r="B25" s="34" t="s">
        <v>556</v>
      </c>
      <c r="C25" s="34" t="s">
        <v>557</v>
      </c>
      <c r="D25" s="36" t="s">
        <v>258</v>
      </c>
      <c r="E25" s="34" t="s">
        <v>558</v>
      </c>
      <c r="F25" s="51" t="s">
        <v>214</v>
      </c>
      <c r="G25" s="37" t="s">
        <v>261</v>
      </c>
      <c r="H25" s="73" t="s">
        <v>414</v>
      </c>
      <c r="I25" s="39" t="s">
        <v>34</v>
      </c>
      <c r="J25" s="41" t="s">
        <v>263</v>
      </c>
    </row>
    <row r="26" customFormat="false" ht="15" hidden="false" customHeight="true" outlineLevel="0" collapsed="false">
      <c r="A26" s="34" t="s">
        <v>559</v>
      </c>
      <c r="B26" s="34" t="s">
        <v>560</v>
      </c>
      <c r="C26" s="34" t="s">
        <v>561</v>
      </c>
      <c r="D26" s="36" t="s">
        <v>258</v>
      </c>
      <c r="E26" s="34" t="s">
        <v>562</v>
      </c>
      <c r="F26" s="36" t="s">
        <v>153</v>
      </c>
      <c r="G26" s="37" t="s">
        <v>261</v>
      </c>
      <c r="H26" s="73" t="s">
        <v>414</v>
      </c>
      <c r="I26" s="39" t="s">
        <v>34</v>
      </c>
      <c r="J26" s="41" t="s">
        <v>263</v>
      </c>
    </row>
    <row r="27" customFormat="false" ht="23.25" hidden="false" customHeight="true" outlineLevel="0" collapsed="false">
      <c r="A27" s="34" t="s">
        <v>563</v>
      </c>
      <c r="B27" s="34" t="s">
        <v>564</v>
      </c>
      <c r="C27" s="34" t="s">
        <v>565</v>
      </c>
      <c r="D27" s="36" t="s">
        <v>258</v>
      </c>
      <c r="E27" s="34" t="s">
        <v>566</v>
      </c>
      <c r="F27" s="35" t="s">
        <v>185</v>
      </c>
      <c r="G27" s="37" t="s">
        <v>261</v>
      </c>
      <c r="H27" s="73" t="s">
        <v>414</v>
      </c>
      <c r="I27" s="39" t="s">
        <v>34</v>
      </c>
      <c r="J27" s="41" t="s">
        <v>263</v>
      </c>
    </row>
    <row r="28" customFormat="false" ht="15" hidden="false" customHeight="true" outlineLevel="0" collapsed="false">
      <c r="A28" s="34" t="s">
        <v>567</v>
      </c>
      <c r="B28" s="34" t="s">
        <v>568</v>
      </c>
      <c r="C28" s="34" t="s">
        <v>569</v>
      </c>
      <c r="D28" s="36" t="s">
        <v>258</v>
      </c>
      <c r="E28" s="34" t="s">
        <v>570</v>
      </c>
      <c r="F28" s="35" t="s">
        <v>185</v>
      </c>
      <c r="G28" s="37" t="s">
        <v>261</v>
      </c>
      <c r="H28" s="69" t="s">
        <v>372</v>
      </c>
      <c r="I28" s="39" t="s">
        <v>45</v>
      </c>
      <c r="J28" s="41" t="s">
        <v>263</v>
      </c>
    </row>
    <row r="29" customFormat="false" ht="15" hidden="false" customHeight="true" outlineLevel="0" collapsed="false">
      <c r="A29" s="34" t="s">
        <v>571</v>
      </c>
      <c r="B29" s="34" t="s">
        <v>572</v>
      </c>
      <c r="C29" s="34" t="s">
        <v>573</v>
      </c>
      <c r="D29" s="36" t="s">
        <v>258</v>
      </c>
      <c r="E29" s="34" t="s">
        <v>574</v>
      </c>
      <c r="F29" s="51" t="s">
        <v>214</v>
      </c>
      <c r="G29" s="37" t="s">
        <v>261</v>
      </c>
      <c r="H29" s="69" t="s">
        <v>372</v>
      </c>
      <c r="I29" s="39" t="s">
        <v>45</v>
      </c>
      <c r="J29" s="41" t="s">
        <v>263</v>
      </c>
    </row>
    <row r="30" customFormat="false" ht="15" hidden="false" customHeight="true" outlineLevel="0" collapsed="false">
      <c r="A30" s="7" t="s">
        <v>575</v>
      </c>
      <c r="B30" s="7" t="s">
        <v>576</v>
      </c>
      <c r="C30" s="7" t="s">
        <v>288</v>
      </c>
      <c r="D30" s="42" t="s">
        <v>258</v>
      </c>
      <c r="E30" s="7" t="s">
        <v>577</v>
      </c>
      <c r="F30" s="62" t="s">
        <v>214</v>
      </c>
      <c r="G30" s="44" t="s">
        <v>261</v>
      </c>
      <c r="H30" s="67" t="s">
        <v>372</v>
      </c>
      <c r="I30" s="8" t="s">
        <v>45</v>
      </c>
      <c r="J30" s="46" t="s">
        <v>263</v>
      </c>
    </row>
    <row r="31" customFormat="false" ht="15" hidden="false" customHeight="true" outlineLevel="0" collapsed="false">
      <c r="A31" s="11" t="s">
        <v>578</v>
      </c>
      <c r="B31" s="11" t="s">
        <v>579</v>
      </c>
      <c r="C31" s="11" t="s">
        <v>288</v>
      </c>
      <c r="D31" s="42" t="s">
        <v>258</v>
      </c>
      <c r="E31" s="11" t="s">
        <v>580</v>
      </c>
      <c r="F31" s="64" t="s">
        <v>396</v>
      </c>
      <c r="G31" s="44" t="s">
        <v>261</v>
      </c>
      <c r="H31" s="75" t="s">
        <v>474</v>
      </c>
      <c r="I31" s="12" t="s">
        <v>34</v>
      </c>
      <c r="J31" s="50" t="s">
        <v>397</v>
      </c>
    </row>
    <row r="32" customFormat="false" ht="15" hidden="false" customHeight="true" outlineLevel="0" collapsed="false">
      <c r="A32" s="7" t="s">
        <v>581</v>
      </c>
      <c r="B32" s="7" t="s">
        <v>582</v>
      </c>
      <c r="C32" s="7" t="s">
        <v>288</v>
      </c>
      <c r="D32" s="42" t="s">
        <v>258</v>
      </c>
      <c r="E32" s="7" t="s">
        <v>583</v>
      </c>
      <c r="F32" s="62" t="s">
        <v>214</v>
      </c>
      <c r="G32" s="44" t="s">
        <v>261</v>
      </c>
      <c r="H32" s="77" t="s">
        <v>414</v>
      </c>
      <c r="I32" s="8" t="s">
        <v>34</v>
      </c>
      <c r="J32" s="46" t="s">
        <v>263</v>
      </c>
    </row>
    <row r="33" customFormat="false" ht="15" hidden="false" customHeight="true" outlineLevel="0" collapsed="false">
      <c r="A33" s="11" t="s">
        <v>584</v>
      </c>
      <c r="B33" s="11" t="s">
        <v>585</v>
      </c>
      <c r="C33" s="11" t="s">
        <v>288</v>
      </c>
      <c r="D33" s="42" t="s">
        <v>258</v>
      </c>
      <c r="E33" s="11" t="s">
        <v>586</v>
      </c>
      <c r="F33" s="48" t="s">
        <v>185</v>
      </c>
      <c r="G33" s="44" t="s">
        <v>261</v>
      </c>
      <c r="H33" s="71" t="s">
        <v>414</v>
      </c>
      <c r="I33" s="12" t="s">
        <v>34</v>
      </c>
      <c r="J33" s="50" t="s">
        <v>263</v>
      </c>
    </row>
    <row r="34" customFormat="false" ht="15" hidden="false" customHeight="true" outlineLevel="0" collapsed="false">
      <c r="A34" s="7" t="s">
        <v>587</v>
      </c>
      <c r="B34" s="7" t="s">
        <v>588</v>
      </c>
      <c r="C34" s="7" t="s">
        <v>288</v>
      </c>
      <c r="D34" s="42" t="s">
        <v>258</v>
      </c>
      <c r="E34" s="7" t="s">
        <v>589</v>
      </c>
      <c r="F34" s="7" t="s">
        <v>240</v>
      </c>
      <c r="G34" s="44" t="s">
        <v>261</v>
      </c>
      <c r="H34" s="67" t="s">
        <v>372</v>
      </c>
      <c r="I34" s="8" t="s">
        <v>45</v>
      </c>
      <c r="J34" s="46" t="s">
        <v>263</v>
      </c>
    </row>
    <row r="35" customFormat="false" ht="15" hidden="false" customHeight="true" outlineLevel="0" collapsed="false">
      <c r="A35" s="78" t="s">
        <v>590</v>
      </c>
      <c r="B35" s="78" t="s">
        <v>591</v>
      </c>
      <c r="C35" s="78" t="s">
        <v>592</v>
      </c>
      <c r="D35" s="78" t="s">
        <v>258</v>
      </c>
      <c r="E35" s="78" t="s">
        <v>593</v>
      </c>
      <c r="F35" s="78" t="s">
        <v>214</v>
      </c>
      <c r="G35" s="78" t="s">
        <v>261</v>
      </c>
      <c r="H35" s="78" t="s">
        <v>31</v>
      </c>
      <c r="I35" s="78" t="s">
        <v>34</v>
      </c>
      <c r="J35" s="78" t="s">
        <v>263</v>
      </c>
    </row>
    <row r="36" customFormat="false" ht="15" hidden="false" customHeight="true" outlineLevel="0" collapsed="false">
      <c r="A36" s="78" t="s">
        <v>594</v>
      </c>
      <c r="B36" s="78" t="s">
        <v>591</v>
      </c>
      <c r="C36" s="78" t="s">
        <v>595</v>
      </c>
      <c r="D36" s="78" t="s">
        <v>258</v>
      </c>
      <c r="E36" s="78" t="s">
        <v>596</v>
      </c>
      <c r="F36" s="78" t="s">
        <v>214</v>
      </c>
      <c r="G36" s="78" t="s">
        <v>261</v>
      </c>
      <c r="H36" s="78" t="s">
        <v>31</v>
      </c>
      <c r="I36" s="78" t="s">
        <v>34</v>
      </c>
      <c r="J36" s="78" t="s">
        <v>263</v>
      </c>
    </row>
    <row r="37" customFormat="false" ht="15" hidden="false" customHeight="true" outlineLevel="0" collapsed="false">
      <c r="A37" s="78" t="s">
        <v>597</v>
      </c>
      <c r="B37" s="78" t="s">
        <v>591</v>
      </c>
      <c r="C37" s="78" t="s">
        <v>598</v>
      </c>
      <c r="D37" s="78" t="s">
        <v>258</v>
      </c>
      <c r="E37" s="78" t="s">
        <v>599</v>
      </c>
      <c r="F37" s="78" t="s">
        <v>240</v>
      </c>
      <c r="G37" s="78" t="s">
        <v>261</v>
      </c>
      <c r="H37" s="78" t="s">
        <v>31</v>
      </c>
      <c r="I37" s="78" t="s">
        <v>34</v>
      </c>
      <c r="J37" s="78" t="s">
        <v>263</v>
      </c>
    </row>
    <row r="38" customFormat="false" ht="15" hidden="false" customHeight="true" outlineLevel="0" collapsed="false">
      <c r="A38" s="78" t="s">
        <v>600</v>
      </c>
      <c r="B38" s="78" t="s">
        <v>591</v>
      </c>
      <c r="C38" s="78" t="s">
        <v>601</v>
      </c>
      <c r="D38" s="78" t="s">
        <v>258</v>
      </c>
      <c r="E38" s="78" t="s">
        <v>602</v>
      </c>
      <c r="F38" s="78" t="s">
        <v>240</v>
      </c>
      <c r="G38" s="78" t="s">
        <v>261</v>
      </c>
      <c r="H38" s="78" t="s">
        <v>14</v>
      </c>
      <c r="I38" s="78" t="s">
        <v>17</v>
      </c>
      <c r="J38" s="78" t="s">
        <v>263</v>
      </c>
    </row>
    <row r="39" customFormat="false" ht="15" hidden="false" customHeight="true" outlineLevel="0" collapsed="false">
      <c r="A39" s="78" t="s">
        <v>603</v>
      </c>
      <c r="B39" s="78" t="s">
        <v>591</v>
      </c>
      <c r="C39" s="78" t="s">
        <v>604</v>
      </c>
      <c r="D39" s="78" t="s">
        <v>258</v>
      </c>
      <c r="E39" s="78" t="s">
        <v>605</v>
      </c>
      <c r="F39" s="78" t="s">
        <v>214</v>
      </c>
      <c r="G39" s="78" t="s">
        <v>261</v>
      </c>
      <c r="H39" s="78" t="s">
        <v>26</v>
      </c>
      <c r="I39" s="78" t="s">
        <v>606</v>
      </c>
      <c r="J39" s="78" t="s">
        <v>263</v>
      </c>
    </row>
    <row r="40" customFormat="false" ht="15" hidden="false" customHeight="true" outlineLevel="0" collapsed="false">
      <c r="A40" s="78" t="s">
        <v>607</v>
      </c>
      <c r="B40" s="78" t="s">
        <v>591</v>
      </c>
      <c r="C40" s="78" t="s">
        <v>608</v>
      </c>
      <c r="D40" s="78" t="s">
        <v>258</v>
      </c>
      <c r="E40" s="78" t="s">
        <v>609</v>
      </c>
      <c r="F40" s="78" t="s">
        <v>214</v>
      </c>
      <c r="G40" s="78" t="s">
        <v>261</v>
      </c>
      <c r="H40" s="78" t="s">
        <v>42</v>
      </c>
      <c r="I40" s="78" t="s">
        <v>45</v>
      </c>
      <c r="J40" s="78" t="s">
        <v>263</v>
      </c>
    </row>
    <row r="42" customFormat="false" ht="15" hidden="false" customHeight="true" outlineLevel="0" collapsed="false">
      <c r="A42" s="72" t="s">
        <v>440</v>
      </c>
    </row>
    <row r="43" customFormat="false" ht="15" hidden="false" customHeight="true" outlineLevel="0" collapsed="false">
      <c r="A43" s="1" t="s">
        <v>610</v>
      </c>
      <c r="B43" s="1" t="s">
        <v>611</v>
      </c>
      <c r="C43" s="1" t="s">
        <v>601</v>
      </c>
      <c r="D43" s="1" t="s">
        <v>159</v>
      </c>
      <c r="E43" s="1" t="s">
        <v>612</v>
      </c>
      <c r="F43" s="1" t="s">
        <v>185</v>
      </c>
      <c r="G43" s="1" t="s">
        <v>446</v>
      </c>
      <c r="H43" s="1" t="s">
        <v>474</v>
      </c>
    </row>
    <row r="44" customFormat="false" ht="15" hidden="false" customHeight="true" outlineLevel="0" collapsed="false">
      <c r="A44" s="1" t="s">
        <v>613</v>
      </c>
      <c r="B44" s="1" t="s">
        <v>614</v>
      </c>
      <c r="C44" s="1" t="s">
        <v>615</v>
      </c>
      <c r="D44" s="1" t="s">
        <v>159</v>
      </c>
      <c r="E44" s="1" t="s">
        <v>616</v>
      </c>
      <c r="F44" s="1" t="s">
        <v>185</v>
      </c>
      <c r="G44" s="1" t="s">
        <v>446</v>
      </c>
      <c r="H44" s="1" t="s">
        <v>414</v>
      </c>
    </row>
    <row r="45" customFormat="false" ht="15" hidden="false" customHeight="true" outlineLevel="0" collapsed="false">
      <c r="A45" s="1" t="s">
        <v>617</v>
      </c>
      <c r="B45" s="1" t="s">
        <v>618</v>
      </c>
      <c r="C45" s="1" t="s">
        <v>619</v>
      </c>
      <c r="D45" s="1" t="s">
        <v>159</v>
      </c>
      <c r="E45" s="1" t="s">
        <v>620</v>
      </c>
      <c r="F45" s="1" t="s">
        <v>185</v>
      </c>
      <c r="G45" s="1" t="s">
        <v>446</v>
      </c>
      <c r="H45" s="1" t="s">
        <v>474</v>
      </c>
    </row>
    <row r="46" customFormat="false" ht="15" hidden="false" customHeight="true" outlineLevel="0" collapsed="false">
      <c r="A46" s="1" t="s">
        <v>497</v>
      </c>
      <c r="B46" s="1" t="s">
        <v>621</v>
      </c>
      <c r="C46" s="1" t="s">
        <v>622</v>
      </c>
      <c r="D46" s="1" t="s">
        <v>159</v>
      </c>
      <c r="E46" s="1" t="s">
        <v>623</v>
      </c>
      <c r="F46" s="1" t="s">
        <v>185</v>
      </c>
      <c r="G46" s="1" t="s">
        <v>446</v>
      </c>
      <c r="H46" s="1" t="s">
        <v>414</v>
      </c>
    </row>
    <row r="47" customFormat="false" ht="15" hidden="false" customHeight="true" outlineLevel="0" collapsed="false">
      <c r="A47" s="1" t="s">
        <v>624</v>
      </c>
      <c r="B47" s="1" t="s">
        <v>618</v>
      </c>
      <c r="C47" s="1" t="s">
        <v>625</v>
      </c>
      <c r="D47" s="1" t="s">
        <v>159</v>
      </c>
      <c r="E47" s="1" t="s">
        <v>626</v>
      </c>
      <c r="F47" s="1" t="s">
        <v>185</v>
      </c>
      <c r="G47" s="1" t="s">
        <v>446</v>
      </c>
      <c r="H47" s="1" t="s">
        <v>414</v>
      </c>
    </row>
    <row r="49" customFormat="false" ht="15" hidden="false" customHeight="true" outlineLevel="0" collapsed="false">
      <c r="A49" s="79" t="s">
        <v>627</v>
      </c>
      <c r="B49" s="80"/>
      <c r="C49" s="80"/>
      <c r="D49" s="80"/>
    </row>
    <row r="50" customFormat="false" ht="15" hidden="false" customHeight="true" outlineLevel="0" collapsed="false">
      <c r="A50" s="81" t="s">
        <v>628</v>
      </c>
      <c r="B50" s="81" t="s">
        <v>629</v>
      </c>
      <c r="C50" s="81" t="s">
        <v>630</v>
      </c>
      <c r="D50" s="81" t="s">
        <v>631</v>
      </c>
    </row>
    <row r="51" customFormat="false" ht="15" hidden="false" customHeight="true" outlineLevel="0" collapsed="false">
      <c r="A51" s="81" t="s">
        <v>632</v>
      </c>
      <c r="B51" s="81" t="s">
        <v>633</v>
      </c>
      <c r="C51" s="81" t="s">
        <v>630</v>
      </c>
      <c r="D51" s="81" t="s">
        <v>631</v>
      </c>
    </row>
    <row r="52" customFormat="false" ht="15" hidden="false" customHeight="true" outlineLevel="0" collapsed="false">
      <c r="A52" s="81" t="s">
        <v>634</v>
      </c>
      <c r="B52" s="81" t="s">
        <v>635</v>
      </c>
      <c r="C52" s="81" t="s">
        <v>630</v>
      </c>
      <c r="D52" s="81" t="s">
        <v>631</v>
      </c>
    </row>
    <row r="53" customFormat="false" ht="15" hidden="false" customHeight="true" outlineLevel="0" collapsed="false">
      <c r="A53" s="81" t="s">
        <v>636</v>
      </c>
      <c r="B53" s="81" t="s">
        <v>637</v>
      </c>
      <c r="C53" s="81" t="s">
        <v>630</v>
      </c>
      <c r="D53" s="81" t="s">
        <v>631</v>
      </c>
    </row>
  </sheetData>
  <autoFilter ref="A1:J34"/>
  <dataValidations count="3">
    <dataValidation allowBlank="true" error="Use ☐ or ☑" errorStyle="stop" errorTitle="Invalid" operator="between" showDropDown="false" showErrorMessage="false" showInputMessage="false" sqref="G2:G34" type="list">
      <formula1>"☐,☑"</formula1>
      <formula2>0</formula2>
    </dataValidation>
    <dataValidation allowBlank="true" errorStyle="stop" operator="between" showDropDown="false" showErrorMessage="false" showInputMessage="false" sqref="H2:H34" type="list">
      <formula1>"AR,PK,VS,NK,DM,SP,RG,AM,KS,PAIR,ALL"</formula1>
      <formula2>0</formula2>
    </dataValidation>
    <dataValidation allowBlank="true" errorStyle="stop" operator="between" showDropDown="false" showErrorMessage="false" showInputMessage="false" sqref="J2:J34" type="list">
      <formula1>"NOT STARTED,IN PROGRESS,IN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0A5FA"/>
    <pageSetUpPr fitToPage="false"/>
  </sheetPr>
  <dimension ref="A1:J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true" zeroHeight="false" outlineLevelRow="0" outlineLevelCol="0"/>
  <cols>
    <col collapsed="false" customWidth="true" hidden="false" outlineLevel="0" max="1" min="1" style="1" width="25"/>
    <col collapsed="false" customWidth="true" hidden="false" outlineLevel="0" max="2" min="2" style="1" width="40"/>
    <col collapsed="false" customWidth="true" hidden="false" outlineLevel="0" max="3" min="3" style="1" width="28"/>
    <col collapsed="false" customWidth="true" hidden="false" outlineLevel="0" max="4" min="4" style="1" width="12"/>
    <col collapsed="false" customWidth="true" hidden="false" outlineLevel="0" max="5" min="5" style="1" width="65"/>
    <col collapsed="false" customWidth="true" hidden="false" outlineLevel="0" max="6" min="6" style="1" width="8"/>
    <col collapsed="false" customWidth="true" hidden="false" outlineLevel="0" max="7" min="7" style="1" width="7"/>
    <col collapsed="false" customWidth="true" hidden="false" outlineLevel="0" max="8" min="8" style="1" width="18"/>
    <col collapsed="false" customWidth="true" hidden="false" outlineLevel="0" max="10" min="9" style="1" width="16"/>
  </cols>
  <sheetData>
    <row r="1" customFormat="false" ht="26.25" hidden="false" customHeight="true" outlineLevel="0" collapsed="false">
      <c r="A1" s="4" t="s">
        <v>638</v>
      </c>
      <c r="B1" s="4" t="s">
        <v>639</v>
      </c>
      <c r="C1" s="4" t="s">
        <v>640</v>
      </c>
      <c r="D1" s="4" t="s">
        <v>150</v>
      </c>
      <c r="E1" s="4" t="s">
        <v>641</v>
      </c>
      <c r="F1" s="4" t="s">
        <v>143</v>
      </c>
      <c r="G1" s="4" t="s">
        <v>252</v>
      </c>
      <c r="H1" s="4" t="s">
        <v>253</v>
      </c>
      <c r="I1" s="4" t="s">
        <v>5</v>
      </c>
      <c r="J1" s="4" t="s">
        <v>254</v>
      </c>
    </row>
    <row r="2" customFormat="false" ht="23.25" hidden="false" customHeight="true" outlineLevel="0" collapsed="false">
      <c r="A2" s="34" t="s">
        <v>642</v>
      </c>
      <c r="B2" s="34" t="s">
        <v>643</v>
      </c>
      <c r="C2" s="34" t="s">
        <v>644</v>
      </c>
      <c r="D2" s="35" t="s">
        <v>258</v>
      </c>
      <c r="E2" s="34" t="s">
        <v>645</v>
      </c>
      <c r="F2" s="36" t="s">
        <v>153</v>
      </c>
      <c r="G2" s="37" t="s">
        <v>261</v>
      </c>
      <c r="H2" s="47" t="s">
        <v>280</v>
      </c>
      <c r="I2" s="39" t="s">
        <v>17</v>
      </c>
      <c r="J2" s="40" t="s">
        <v>263</v>
      </c>
    </row>
    <row r="3" customFormat="false" ht="23.25" hidden="false" customHeight="true" outlineLevel="0" collapsed="false">
      <c r="A3" s="34" t="s">
        <v>646</v>
      </c>
      <c r="B3" s="34" t="s">
        <v>647</v>
      </c>
      <c r="C3" s="34" t="s">
        <v>648</v>
      </c>
      <c r="D3" s="35" t="s">
        <v>258</v>
      </c>
      <c r="E3" s="34" t="s">
        <v>649</v>
      </c>
      <c r="F3" s="36" t="s">
        <v>153</v>
      </c>
      <c r="G3" s="37" t="s">
        <v>261</v>
      </c>
      <c r="H3" s="38" t="s">
        <v>262</v>
      </c>
      <c r="I3" s="39" t="s">
        <v>23</v>
      </c>
      <c r="J3" s="41" t="s">
        <v>263</v>
      </c>
    </row>
    <row r="4" customFormat="false" ht="23.25" hidden="false" customHeight="true" outlineLevel="0" collapsed="false">
      <c r="A4" s="7" t="s">
        <v>650</v>
      </c>
      <c r="B4" s="7" t="s">
        <v>651</v>
      </c>
      <c r="C4" s="7" t="s">
        <v>288</v>
      </c>
      <c r="D4" s="42" t="s">
        <v>258</v>
      </c>
      <c r="E4" s="7" t="s">
        <v>652</v>
      </c>
      <c r="F4" s="43" t="s">
        <v>653</v>
      </c>
      <c r="G4" s="44" t="s">
        <v>261</v>
      </c>
      <c r="H4" s="45" t="s">
        <v>262</v>
      </c>
      <c r="I4" s="8" t="s">
        <v>23</v>
      </c>
      <c r="J4" s="46" t="s">
        <v>263</v>
      </c>
    </row>
    <row r="5" customFormat="false" ht="34.5" hidden="false" customHeight="true" outlineLevel="0" collapsed="false">
      <c r="A5" s="11" t="s">
        <v>654</v>
      </c>
      <c r="B5" s="11" t="s">
        <v>655</v>
      </c>
      <c r="C5" s="11" t="s">
        <v>656</v>
      </c>
      <c r="D5" s="42" t="s">
        <v>258</v>
      </c>
      <c r="E5" s="11" t="s">
        <v>657</v>
      </c>
      <c r="F5" s="59" t="s">
        <v>153</v>
      </c>
      <c r="G5" s="44" t="s">
        <v>261</v>
      </c>
      <c r="H5" s="60" t="s">
        <v>316</v>
      </c>
      <c r="I5" s="12" t="s">
        <v>23</v>
      </c>
      <c r="J5" s="58" t="s">
        <v>263</v>
      </c>
    </row>
    <row r="6" customFormat="false" ht="23.25" hidden="false" customHeight="true" outlineLevel="0" collapsed="false">
      <c r="A6" s="34" t="s">
        <v>658</v>
      </c>
      <c r="B6" s="34" t="s">
        <v>659</v>
      </c>
      <c r="C6" s="34" t="s">
        <v>660</v>
      </c>
      <c r="D6" s="35" t="s">
        <v>258</v>
      </c>
      <c r="E6" s="34" t="s">
        <v>661</v>
      </c>
      <c r="F6" s="36" t="s">
        <v>153</v>
      </c>
      <c r="G6" s="37" t="s">
        <v>261</v>
      </c>
      <c r="H6" s="61" t="s">
        <v>316</v>
      </c>
      <c r="I6" s="39" t="s">
        <v>23</v>
      </c>
      <c r="J6" s="41" t="s">
        <v>263</v>
      </c>
    </row>
    <row r="7" customFormat="false" ht="23.25" hidden="false" customHeight="true" outlineLevel="0" collapsed="false">
      <c r="A7" s="11" t="s">
        <v>662</v>
      </c>
      <c r="B7" s="11" t="s">
        <v>663</v>
      </c>
      <c r="C7" s="11" t="s">
        <v>664</v>
      </c>
      <c r="D7" s="42" t="s">
        <v>258</v>
      </c>
      <c r="E7" s="11" t="s">
        <v>665</v>
      </c>
      <c r="F7" s="59" t="s">
        <v>153</v>
      </c>
      <c r="G7" s="44" t="s">
        <v>261</v>
      </c>
      <c r="H7" s="60" t="s">
        <v>316</v>
      </c>
      <c r="I7" s="12" t="s">
        <v>23</v>
      </c>
      <c r="J7" s="58" t="s">
        <v>263</v>
      </c>
    </row>
    <row r="8" customFormat="false" ht="23.25" hidden="false" customHeight="true" outlineLevel="0" collapsed="false">
      <c r="A8" s="7" t="s">
        <v>603</v>
      </c>
      <c r="B8" s="7" t="s">
        <v>666</v>
      </c>
      <c r="C8" s="7" t="s">
        <v>288</v>
      </c>
      <c r="D8" s="42" t="s">
        <v>258</v>
      </c>
      <c r="E8" s="7" t="s">
        <v>667</v>
      </c>
      <c r="F8" s="43" t="s">
        <v>653</v>
      </c>
      <c r="G8" s="44" t="s">
        <v>261</v>
      </c>
      <c r="H8" s="57" t="s">
        <v>316</v>
      </c>
      <c r="I8" s="8" t="s">
        <v>23</v>
      </c>
      <c r="J8" s="46" t="s">
        <v>263</v>
      </c>
    </row>
    <row r="9" customFormat="false" ht="23.25" hidden="false" customHeight="true" outlineLevel="0" collapsed="false">
      <c r="A9" s="11" t="s">
        <v>668</v>
      </c>
      <c r="B9" s="11" t="s">
        <v>669</v>
      </c>
      <c r="C9" s="11" t="s">
        <v>288</v>
      </c>
      <c r="D9" s="42" t="s">
        <v>258</v>
      </c>
      <c r="E9" s="11" t="s">
        <v>670</v>
      </c>
      <c r="F9" s="59" t="s">
        <v>671</v>
      </c>
      <c r="G9" s="44" t="s">
        <v>261</v>
      </c>
      <c r="H9" s="60" t="s">
        <v>316</v>
      </c>
      <c r="I9" s="12" t="s">
        <v>23</v>
      </c>
      <c r="J9" s="50" t="s">
        <v>263</v>
      </c>
    </row>
    <row r="10" customFormat="false" ht="23.25" hidden="false" customHeight="true" outlineLevel="0" collapsed="false">
      <c r="A10" s="34" t="s">
        <v>672</v>
      </c>
      <c r="B10" s="34" t="s">
        <v>673</v>
      </c>
      <c r="C10" s="34" t="s">
        <v>674</v>
      </c>
      <c r="D10" s="35" t="s">
        <v>258</v>
      </c>
      <c r="E10" s="34" t="s">
        <v>675</v>
      </c>
      <c r="F10" s="36" t="s">
        <v>653</v>
      </c>
      <c r="G10" s="37" t="s">
        <v>261</v>
      </c>
      <c r="H10" s="61" t="s">
        <v>316</v>
      </c>
      <c r="I10" s="39" t="s">
        <v>23</v>
      </c>
      <c r="J10" s="41" t="s">
        <v>263</v>
      </c>
    </row>
    <row r="11" customFormat="false" ht="23.25" hidden="false" customHeight="true" outlineLevel="0" collapsed="false">
      <c r="A11" s="11" t="s">
        <v>676</v>
      </c>
      <c r="B11" s="11" t="s">
        <v>677</v>
      </c>
      <c r="C11" s="11" t="s">
        <v>288</v>
      </c>
      <c r="D11" s="42" t="s">
        <v>258</v>
      </c>
      <c r="E11" s="11" t="s">
        <v>678</v>
      </c>
      <c r="F11" s="59" t="s">
        <v>653</v>
      </c>
      <c r="G11" s="44" t="s">
        <v>261</v>
      </c>
      <c r="H11" s="65" t="s">
        <v>307</v>
      </c>
      <c r="I11" s="12" t="s">
        <v>45</v>
      </c>
      <c r="J11" s="50" t="s">
        <v>263</v>
      </c>
    </row>
    <row r="12" customFormat="false" ht="23.25" hidden="false" customHeight="true" outlineLevel="0" collapsed="false">
      <c r="A12" s="7" t="s">
        <v>679</v>
      </c>
      <c r="B12" s="7" t="s">
        <v>680</v>
      </c>
      <c r="C12" s="7" t="s">
        <v>288</v>
      </c>
      <c r="D12" s="42" t="s">
        <v>258</v>
      </c>
      <c r="E12" s="7" t="s">
        <v>681</v>
      </c>
      <c r="F12" s="66" t="s">
        <v>682</v>
      </c>
      <c r="G12" s="44" t="s">
        <v>261</v>
      </c>
      <c r="H12" s="63" t="s">
        <v>307</v>
      </c>
      <c r="I12" s="8" t="s">
        <v>45</v>
      </c>
      <c r="J12" s="46" t="s">
        <v>263</v>
      </c>
    </row>
    <row r="13" customFormat="false" ht="23.25" hidden="false" customHeight="true" outlineLevel="0" collapsed="false">
      <c r="A13" s="34" t="s">
        <v>683</v>
      </c>
      <c r="B13" s="34" t="s">
        <v>684</v>
      </c>
      <c r="C13" s="34" t="s">
        <v>685</v>
      </c>
      <c r="D13" s="35" t="s">
        <v>258</v>
      </c>
      <c r="E13" s="34" t="s">
        <v>686</v>
      </c>
      <c r="F13" s="36" t="s">
        <v>653</v>
      </c>
      <c r="G13" s="37" t="s">
        <v>261</v>
      </c>
      <c r="H13" s="38" t="s">
        <v>262</v>
      </c>
      <c r="I13" s="39" t="s">
        <v>23</v>
      </c>
      <c r="J13" s="41" t="s">
        <v>263</v>
      </c>
    </row>
    <row r="14" customFormat="false" ht="23.25" hidden="false" customHeight="true" outlineLevel="0" collapsed="false">
      <c r="A14" s="7" t="s">
        <v>687</v>
      </c>
      <c r="B14" s="7" t="s">
        <v>688</v>
      </c>
      <c r="C14" s="7" t="s">
        <v>288</v>
      </c>
      <c r="D14" s="42" t="s">
        <v>258</v>
      </c>
      <c r="E14" s="7" t="s">
        <v>689</v>
      </c>
      <c r="F14" s="43" t="s">
        <v>653</v>
      </c>
      <c r="G14" s="44" t="s">
        <v>261</v>
      </c>
      <c r="H14" s="45" t="s">
        <v>262</v>
      </c>
      <c r="I14" s="8" t="s">
        <v>23</v>
      </c>
      <c r="J14" s="46" t="s">
        <v>263</v>
      </c>
    </row>
    <row r="15" customFormat="false" ht="23.25" hidden="false" customHeight="true" outlineLevel="0" collapsed="false">
      <c r="A15" s="11" t="s">
        <v>129</v>
      </c>
      <c r="B15" s="11" t="s">
        <v>690</v>
      </c>
      <c r="C15" s="11" t="s">
        <v>288</v>
      </c>
      <c r="D15" s="42" t="s">
        <v>258</v>
      </c>
      <c r="E15" s="11" t="s">
        <v>691</v>
      </c>
      <c r="F15" s="59" t="s">
        <v>653</v>
      </c>
      <c r="G15" s="44" t="s">
        <v>261</v>
      </c>
      <c r="H15" s="65" t="s">
        <v>307</v>
      </c>
      <c r="I15" s="12" t="s">
        <v>45</v>
      </c>
      <c r="J15" s="50" t="s">
        <v>263</v>
      </c>
    </row>
    <row r="16" customFormat="false" ht="23.25" hidden="false" customHeight="true" outlineLevel="0" collapsed="false">
      <c r="A16" s="7" t="s">
        <v>692</v>
      </c>
      <c r="B16" s="7" t="s">
        <v>693</v>
      </c>
      <c r="C16" s="7" t="s">
        <v>694</v>
      </c>
      <c r="D16" s="42" t="s">
        <v>258</v>
      </c>
      <c r="E16" s="7" t="s">
        <v>695</v>
      </c>
      <c r="F16" s="66" t="s">
        <v>185</v>
      </c>
      <c r="G16" s="44" t="s">
        <v>261</v>
      </c>
      <c r="H16" s="67" t="s">
        <v>372</v>
      </c>
      <c r="I16" s="8" t="s">
        <v>45</v>
      </c>
      <c r="J16" s="58" t="s">
        <v>263</v>
      </c>
    </row>
    <row r="17" customFormat="false" ht="23.25" hidden="false" customHeight="true" outlineLevel="0" collapsed="false">
      <c r="A17" s="11" t="s">
        <v>696</v>
      </c>
      <c r="B17" s="11" t="s">
        <v>697</v>
      </c>
      <c r="C17" s="11" t="s">
        <v>698</v>
      </c>
      <c r="D17" s="42" t="s">
        <v>258</v>
      </c>
      <c r="E17" s="11" t="s">
        <v>699</v>
      </c>
      <c r="F17" s="48" t="s">
        <v>185</v>
      </c>
      <c r="G17" s="44" t="s">
        <v>261</v>
      </c>
      <c r="H17" s="68" t="s">
        <v>372</v>
      </c>
      <c r="I17" s="12" t="s">
        <v>45</v>
      </c>
      <c r="J17" s="58" t="s">
        <v>263</v>
      </c>
    </row>
    <row r="18" customFormat="false" ht="23.25" hidden="false" customHeight="true" outlineLevel="0" collapsed="false">
      <c r="A18" s="7" t="s">
        <v>700</v>
      </c>
      <c r="B18" s="7" t="s">
        <v>701</v>
      </c>
      <c r="C18" s="7" t="s">
        <v>288</v>
      </c>
      <c r="D18" s="42" t="s">
        <v>258</v>
      </c>
      <c r="E18" s="7" t="s">
        <v>702</v>
      </c>
      <c r="F18" s="62" t="s">
        <v>682</v>
      </c>
      <c r="G18" s="44" t="s">
        <v>261</v>
      </c>
      <c r="H18" s="63" t="s">
        <v>307</v>
      </c>
      <c r="I18" s="8" t="s">
        <v>45</v>
      </c>
      <c r="J18" s="46" t="s">
        <v>263</v>
      </c>
    </row>
    <row r="19" customFormat="false" ht="23.25" hidden="false" customHeight="true" outlineLevel="0" collapsed="false">
      <c r="A19" s="11" t="s">
        <v>703</v>
      </c>
      <c r="B19" s="11" t="s">
        <v>704</v>
      </c>
      <c r="C19" s="11" t="s">
        <v>288</v>
      </c>
      <c r="D19" s="42" t="s">
        <v>258</v>
      </c>
      <c r="E19" s="11" t="s">
        <v>705</v>
      </c>
      <c r="F19" s="48" t="s">
        <v>653</v>
      </c>
      <c r="G19" s="44" t="s">
        <v>261</v>
      </c>
      <c r="H19" s="68" t="s">
        <v>372</v>
      </c>
      <c r="I19" s="12" t="s">
        <v>45</v>
      </c>
      <c r="J19" s="50" t="s">
        <v>263</v>
      </c>
    </row>
    <row r="20" customFormat="false" ht="23.25" hidden="false" customHeight="true" outlineLevel="0" collapsed="false">
      <c r="A20" s="34" t="s">
        <v>706</v>
      </c>
      <c r="B20" s="34" t="s">
        <v>707</v>
      </c>
      <c r="C20" s="34" t="s">
        <v>708</v>
      </c>
      <c r="D20" s="36" t="s">
        <v>258</v>
      </c>
      <c r="E20" s="34" t="s">
        <v>709</v>
      </c>
      <c r="F20" s="35" t="s">
        <v>185</v>
      </c>
      <c r="G20" s="37" t="s">
        <v>261</v>
      </c>
      <c r="H20" s="69" t="s">
        <v>372</v>
      </c>
      <c r="I20" s="39" t="s">
        <v>45</v>
      </c>
      <c r="J20" s="41" t="s">
        <v>263</v>
      </c>
    </row>
    <row r="21" customFormat="false" ht="23.25" hidden="false" customHeight="true" outlineLevel="0" collapsed="false">
      <c r="A21" s="34" t="s">
        <v>710</v>
      </c>
      <c r="B21" s="34" t="s">
        <v>711</v>
      </c>
      <c r="C21" s="34" t="s">
        <v>712</v>
      </c>
      <c r="D21" s="35" t="s">
        <v>258</v>
      </c>
      <c r="E21" s="34" t="s">
        <v>713</v>
      </c>
      <c r="F21" s="35" t="s">
        <v>653</v>
      </c>
      <c r="G21" s="37" t="s">
        <v>261</v>
      </c>
      <c r="H21" s="47" t="s">
        <v>280</v>
      </c>
      <c r="I21" s="39" t="s">
        <v>17</v>
      </c>
      <c r="J21" s="41" t="s">
        <v>263</v>
      </c>
    </row>
    <row r="22" customFormat="false" ht="23.25" hidden="false" customHeight="true" outlineLevel="0" collapsed="false">
      <c r="A22" s="34" t="s">
        <v>714</v>
      </c>
      <c r="B22" s="34" t="s">
        <v>715</v>
      </c>
      <c r="C22" s="34" t="s">
        <v>716</v>
      </c>
      <c r="D22" s="35" t="s">
        <v>258</v>
      </c>
      <c r="E22" s="34" t="s">
        <v>717</v>
      </c>
      <c r="F22" s="35" t="s">
        <v>653</v>
      </c>
      <c r="G22" s="37" t="s">
        <v>261</v>
      </c>
      <c r="H22" s="47" t="s">
        <v>280</v>
      </c>
      <c r="I22" s="39" t="s">
        <v>17</v>
      </c>
      <c r="J22" s="41" t="s">
        <v>263</v>
      </c>
    </row>
    <row r="23" customFormat="false" ht="15" hidden="false" customHeight="true" outlineLevel="0" collapsed="false">
      <c r="A23" s="11" t="s">
        <v>718</v>
      </c>
      <c r="B23" s="11" t="s">
        <v>719</v>
      </c>
      <c r="C23" s="11" t="s">
        <v>288</v>
      </c>
      <c r="D23" s="42" t="s">
        <v>289</v>
      </c>
      <c r="E23" s="11" t="s">
        <v>720</v>
      </c>
      <c r="F23" s="48" t="s">
        <v>185</v>
      </c>
      <c r="G23" s="44" t="s">
        <v>261</v>
      </c>
      <c r="H23" s="49" t="s">
        <v>280</v>
      </c>
      <c r="I23" s="12" t="s">
        <v>17</v>
      </c>
      <c r="J23" s="50" t="s">
        <v>263</v>
      </c>
    </row>
    <row r="24" customFormat="false" ht="15" hidden="false" customHeight="true" outlineLevel="0" collapsed="false">
      <c r="A24" s="7" t="s">
        <v>721</v>
      </c>
      <c r="B24" s="7" t="s">
        <v>722</v>
      </c>
      <c r="C24" s="7" t="s">
        <v>288</v>
      </c>
      <c r="D24" s="42" t="s">
        <v>258</v>
      </c>
      <c r="E24" s="7" t="s">
        <v>723</v>
      </c>
      <c r="F24" s="62" t="s">
        <v>724</v>
      </c>
      <c r="G24" s="44" t="s">
        <v>261</v>
      </c>
      <c r="H24" s="45" t="s">
        <v>262</v>
      </c>
      <c r="I24" s="8" t="s">
        <v>23</v>
      </c>
      <c r="J24" s="46" t="s">
        <v>263</v>
      </c>
    </row>
    <row r="25" customFormat="false" ht="23.25" hidden="false" customHeight="true" outlineLevel="0" collapsed="false">
      <c r="A25" s="11" t="s">
        <v>725</v>
      </c>
      <c r="B25" s="11" t="s">
        <v>726</v>
      </c>
      <c r="C25" s="11" t="s">
        <v>288</v>
      </c>
      <c r="D25" s="42" t="s">
        <v>289</v>
      </c>
      <c r="E25" s="11" t="s">
        <v>727</v>
      </c>
      <c r="F25" s="64" t="s">
        <v>214</v>
      </c>
      <c r="G25" s="44" t="s">
        <v>446</v>
      </c>
      <c r="H25" s="68" t="s">
        <v>372</v>
      </c>
      <c r="I25" s="12" t="s">
        <v>45</v>
      </c>
      <c r="J25" s="50" t="s">
        <v>397</v>
      </c>
    </row>
    <row r="26" customFormat="false" ht="23.25" hidden="false" customHeight="true" outlineLevel="0" collapsed="false">
      <c r="A26" s="7" t="s">
        <v>728</v>
      </c>
      <c r="B26" s="7" t="s">
        <v>729</v>
      </c>
      <c r="C26" s="7" t="s">
        <v>730</v>
      </c>
      <c r="D26" s="42" t="s">
        <v>258</v>
      </c>
      <c r="E26" s="7" t="s">
        <v>731</v>
      </c>
      <c r="F26" s="43" t="s">
        <v>153</v>
      </c>
      <c r="G26" s="44" t="s">
        <v>261</v>
      </c>
      <c r="H26" s="45" t="s">
        <v>262</v>
      </c>
      <c r="I26" s="8" t="s">
        <v>23</v>
      </c>
      <c r="J26" s="58" t="s">
        <v>263</v>
      </c>
    </row>
    <row r="27" customFormat="false" ht="23.25" hidden="false" customHeight="true" outlineLevel="0" collapsed="false">
      <c r="A27" s="34" t="s">
        <v>732</v>
      </c>
      <c r="B27" s="34" t="s">
        <v>733</v>
      </c>
      <c r="C27" s="34" t="s">
        <v>734</v>
      </c>
      <c r="D27" s="35" t="s">
        <v>258</v>
      </c>
      <c r="E27" s="34" t="s">
        <v>735</v>
      </c>
      <c r="F27" s="35" t="s">
        <v>185</v>
      </c>
      <c r="G27" s="37" t="s">
        <v>261</v>
      </c>
      <c r="H27" s="38" t="s">
        <v>262</v>
      </c>
      <c r="I27" s="39" t="s">
        <v>23</v>
      </c>
      <c r="J27" s="41" t="s">
        <v>263</v>
      </c>
    </row>
    <row r="28" customFormat="false" ht="23.25" hidden="false" customHeight="true" outlineLevel="0" collapsed="false">
      <c r="A28" s="7" t="s">
        <v>736</v>
      </c>
      <c r="B28" s="7" t="s">
        <v>737</v>
      </c>
      <c r="C28" s="7" t="s">
        <v>288</v>
      </c>
      <c r="D28" s="42" t="s">
        <v>258</v>
      </c>
      <c r="E28" s="7" t="s">
        <v>738</v>
      </c>
      <c r="F28" s="66" t="s">
        <v>653</v>
      </c>
      <c r="G28" s="44" t="s">
        <v>261</v>
      </c>
      <c r="H28" s="82" t="s">
        <v>739</v>
      </c>
      <c r="I28" s="8" t="s">
        <v>55</v>
      </c>
      <c r="J28" s="46" t="s">
        <v>263</v>
      </c>
    </row>
    <row r="29" customFormat="false" ht="15" hidden="false" customHeight="true" outlineLevel="0" collapsed="false">
      <c r="A29" s="11" t="s">
        <v>740</v>
      </c>
      <c r="B29" s="11" t="s">
        <v>741</v>
      </c>
      <c r="C29" s="11" t="s">
        <v>288</v>
      </c>
      <c r="D29" s="42" t="s">
        <v>289</v>
      </c>
      <c r="E29" s="11" t="s">
        <v>742</v>
      </c>
      <c r="F29" s="11" t="s">
        <v>240</v>
      </c>
      <c r="G29" s="44" t="s">
        <v>446</v>
      </c>
      <c r="H29" s="65" t="s">
        <v>307</v>
      </c>
      <c r="I29" s="12" t="s">
        <v>45</v>
      </c>
      <c r="J29" s="50" t="s">
        <v>397</v>
      </c>
    </row>
    <row r="30" customFormat="false" ht="15" hidden="false" customHeight="true" outlineLevel="0" collapsed="false">
      <c r="A30" s="7" t="s">
        <v>743</v>
      </c>
      <c r="B30" s="7" t="s">
        <v>744</v>
      </c>
      <c r="C30" s="7" t="s">
        <v>288</v>
      </c>
      <c r="D30" s="42" t="s">
        <v>289</v>
      </c>
      <c r="E30" s="7" t="s">
        <v>745</v>
      </c>
      <c r="F30" s="7" t="s">
        <v>240</v>
      </c>
      <c r="G30" s="44" t="s">
        <v>446</v>
      </c>
      <c r="H30" s="63" t="s">
        <v>307</v>
      </c>
      <c r="I30" s="8" t="s">
        <v>45</v>
      </c>
      <c r="J30" s="46" t="s">
        <v>397</v>
      </c>
    </row>
    <row r="31" customFormat="false" ht="23.25" hidden="false" customHeight="true" outlineLevel="0" collapsed="false">
      <c r="A31" s="11" t="s">
        <v>746</v>
      </c>
      <c r="B31" s="11" t="s">
        <v>747</v>
      </c>
      <c r="C31" s="11" t="s">
        <v>288</v>
      </c>
      <c r="D31" s="42" t="s">
        <v>289</v>
      </c>
      <c r="E31" s="11" t="s">
        <v>748</v>
      </c>
      <c r="F31" s="64" t="s">
        <v>214</v>
      </c>
      <c r="G31" s="44" t="s">
        <v>261</v>
      </c>
      <c r="H31" s="68" t="s">
        <v>372</v>
      </c>
      <c r="I31" s="12" t="s">
        <v>45</v>
      </c>
      <c r="J31" s="50" t="s">
        <v>263</v>
      </c>
    </row>
    <row r="32" customFormat="false" ht="15" hidden="false" customHeight="true" outlineLevel="0" collapsed="false">
      <c r="A32" s="7" t="s">
        <v>749</v>
      </c>
      <c r="B32" s="7" t="s">
        <v>618</v>
      </c>
      <c r="C32" s="7" t="s">
        <v>750</v>
      </c>
      <c r="D32" s="53" t="s">
        <v>258</v>
      </c>
      <c r="E32" s="7" t="s">
        <v>751</v>
      </c>
      <c r="F32" s="7" t="s">
        <v>288</v>
      </c>
      <c r="G32" s="54" t="s">
        <v>261</v>
      </c>
      <c r="H32" s="83" t="s">
        <v>288</v>
      </c>
      <c r="I32" s="8" t="s">
        <v>288</v>
      </c>
      <c r="J32" s="56" t="s">
        <v>263</v>
      </c>
    </row>
    <row r="33" customFormat="false" ht="15" hidden="false" customHeight="true" outlineLevel="0" collapsed="false">
      <c r="A33" s="11" t="s">
        <v>752</v>
      </c>
      <c r="B33" s="11" t="s">
        <v>618</v>
      </c>
      <c r="C33" s="11" t="s">
        <v>753</v>
      </c>
      <c r="D33" s="53" t="s">
        <v>258</v>
      </c>
      <c r="E33" s="11" t="s">
        <v>754</v>
      </c>
      <c r="F33" s="11" t="s">
        <v>288</v>
      </c>
      <c r="G33" s="54" t="s">
        <v>261</v>
      </c>
      <c r="H33" s="55" t="s">
        <v>288</v>
      </c>
      <c r="I33" s="12" t="s">
        <v>288</v>
      </c>
      <c r="J33" s="56" t="s">
        <v>263</v>
      </c>
    </row>
    <row r="34" customFormat="false" ht="15" hidden="false" customHeight="true" outlineLevel="0" collapsed="false">
      <c r="A34" s="7" t="s">
        <v>755</v>
      </c>
      <c r="B34" s="7" t="s">
        <v>618</v>
      </c>
      <c r="C34" s="7" t="s">
        <v>756</v>
      </c>
      <c r="D34" s="53" t="s">
        <v>258</v>
      </c>
      <c r="E34" s="7" t="s">
        <v>757</v>
      </c>
      <c r="F34" s="7" t="s">
        <v>288</v>
      </c>
      <c r="G34" s="54" t="s">
        <v>261</v>
      </c>
      <c r="H34" s="83" t="s">
        <v>288</v>
      </c>
      <c r="I34" s="8" t="s">
        <v>288</v>
      </c>
      <c r="J34" s="56" t="s">
        <v>263</v>
      </c>
    </row>
    <row r="35" customFormat="false" ht="15" hidden="false" customHeight="true" outlineLevel="0" collapsed="false">
      <c r="A35" s="78" t="s">
        <v>758</v>
      </c>
      <c r="B35" s="78" t="s">
        <v>591</v>
      </c>
      <c r="C35" s="78" t="s">
        <v>759</v>
      </c>
      <c r="D35" s="78" t="s">
        <v>258</v>
      </c>
      <c r="E35" s="78" t="s">
        <v>760</v>
      </c>
      <c r="F35" s="78" t="s">
        <v>214</v>
      </c>
      <c r="G35" s="78" t="s">
        <v>261</v>
      </c>
      <c r="H35" s="78" t="s">
        <v>48</v>
      </c>
      <c r="I35" s="78" t="s">
        <v>761</v>
      </c>
      <c r="J35" s="78" t="s">
        <v>263</v>
      </c>
    </row>
    <row r="36" customFormat="false" ht="15" hidden="false" customHeight="true" outlineLevel="0" collapsed="false">
      <c r="A36" s="78" t="s">
        <v>762</v>
      </c>
      <c r="B36" s="78" t="s">
        <v>763</v>
      </c>
      <c r="C36" s="78" t="s">
        <v>764</v>
      </c>
      <c r="D36" s="78" t="s">
        <v>258</v>
      </c>
      <c r="E36" s="78" t="s">
        <v>760</v>
      </c>
      <c r="F36" s="78" t="s">
        <v>185</v>
      </c>
      <c r="G36" s="78" t="s">
        <v>261</v>
      </c>
      <c r="H36" s="78" t="s">
        <v>26</v>
      </c>
      <c r="I36" s="78" t="s">
        <v>606</v>
      </c>
      <c r="J36" s="78" t="s">
        <v>263</v>
      </c>
    </row>
    <row r="37" customFormat="false" ht="15" hidden="false" customHeight="true" outlineLevel="0" collapsed="false">
      <c r="A37" s="78" t="s">
        <v>765</v>
      </c>
      <c r="B37" s="78" t="s">
        <v>763</v>
      </c>
      <c r="C37" s="78" t="s">
        <v>766</v>
      </c>
      <c r="D37" s="78" t="s">
        <v>258</v>
      </c>
      <c r="E37" s="78" t="s">
        <v>760</v>
      </c>
      <c r="F37" s="78" t="s">
        <v>185</v>
      </c>
      <c r="G37" s="78" t="s">
        <v>261</v>
      </c>
      <c r="H37" s="78" t="s">
        <v>26</v>
      </c>
      <c r="I37" s="78" t="s">
        <v>606</v>
      </c>
      <c r="J37" s="78" t="s">
        <v>263</v>
      </c>
    </row>
    <row r="38" customFormat="false" ht="15" hidden="false" customHeight="true" outlineLevel="0" collapsed="false">
      <c r="A38" s="78" t="s">
        <v>524</v>
      </c>
      <c r="B38" s="78" t="s">
        <v>591</v>
      </c>
      <c r="C38" s="78" t="s">
        <v>767</v>
      </c>
      <c r="D38" s="78" t="s">
        <v>258</v>
      </c>
      <c r="E38" s="78" t="s">
        <v>760</v>
      </c>
      <c r="F38" s="78" t="s">
        <v>214</v>
      </c>
      <c r="G38" s="78" t="s">
        <v>261</v>
      </c>
      <c r="H38" s="78" t="s">
        <v>26</v>
      </c>
      <c r="I38" s="78" t="s">
        <v>606</v>
      </c>
      <c r="J38" s="78" t="s">
        <v>263</v>
      </c>
    </row>
    <row r="39" customFormat="false" ht="15" hidden="false" customHeight="true" outlineLevel="0" collapsed="false">
      <c r="A39" s="78" t="s">
        <v>768</v>
      </c>
      <c r="B39" s="78" t="s">
        <v>591</v>
      </c>
      <c r="C39" s="78" t="s">
        <v>769</v>
      </c>
      <c r="D39" s="78" t="s">
        <v>258</v>
      </c>
      <c r="E39" s="78" t="s">
        <v>760</v>
      </c>
      <c r="F39" s="78" t="s">
        <v>214</v>
      </c>
      <c r="G39" s="78" t="s">
        <v>261</v>
      </c>
      <c r="H39" s="78" t="s">
        <v>26</v>
      </c>
      <c r="I39" s="78" t="s">
        <v>606</v>
      </c>
      <c r="J39" s="78" t="s">
        <v>263</v>
      </c>
    </row>
    <row r="40" customFormat="false" ht="15" hidden="false" customHeight="true" outlineLevel="0" collapsed="false">
      <c r="A40" s="78" t="s">
        <v>770</v>
      </c>
      <c r="B40" s="78" t="s">
        <v>591</v>
      </c>
      <c r="C40" s="78" t="s">
        <v>771</v>
      </c>
      <c r="D40" s="78" t="s">
        <v>258</v>
      </c>
      <c r="E40" s="78" t="s">
        <v>760</v>
      </c>
      <c r="F40" s="78" t="s">
        <v>185</v>
      </c>
      <c r="G40" s="78" t="s">
        <v>261</v>
      </c>
      <c r="H40" s="78" t="s">
        <v>20</v>
      </c>
      <c r="I40" s="78" t="s">
        <v>23</v>
      </c>
      <c r="J40" s="78" t="s">
        <v>263</v>
      </c>
    </row>
    <row r="41" customFormat="false" ht="15" hidden="false" customHeight="true" outlineLevel="0" collapsed="false">
      <c r="A41" s="78" t="s">
        <v>772</v>
      </c>
      <c r="B41" s="78" t="s">
        <v>591</v>
      </c>
      <c r="C41" s="78" t="s">
        <v>773</v>
      </c>
      <c r="D41" s="78" t="s">
        <v>258</v>
      </c>
      <c r="E41" s="78" t="s">
        <v>760</v>
      </c>
      <c r="F41" s="78" t="s">
        <v>214</v>
      </c>
      <c r="G41" s="78" t="s">
        <v>261</v>
      </c>
      <c r="H41" s="78" t="s">
        <v>20</v>
      </c>
      <c r="I41" s="78" t="s">
        <v>23</v>
      </c>
      <c r="J41" s="78" t="s">
        <v>263</v>
      </c>
    </row>
    <row r="42" customFormat="false" ht="15" hidden="false" customHeight="true" outlineLevel="0" collapsed="false">
      <c r="A42" s="78" t="s">
        <v>774</v>
      </c>
      <c r="B42" s="78" t="s">
        <v>591</v>
      </c>
      <c r="C42" s="78" t="s">
        <v>775</v>
      </c>
      <c r="D42" s="78" t="s">
        <v>258</v>
      </c>
      <c r="E42" s="78" t="s">
        <v>760</v>
      </c>
      <c r="F42" s="78" t="s">
        <v>214</v>
      </c>
      <c r="G42" s="78" t="s">
        <v>261</v>
      </c>
      <c r="H42" s="78" t="s">
        <v>20</v>
      </c>
      <c r="I42" s="78" t="s">
        <v>23</v>
      </c>
      <c r="J42" s="78" t="s">
        <v>263</v>
      </c>
    </row>
    <row r="43" customFormat="false" ht="15" hidden="false" customHeight="true" outlineLevel="0" collapsed="false">
      <c r="A43" s="78" t="s">
        <v>776</v>
      </c>
      <c r="B43" s="78" t="s">
        <v>591</v>
      </c>
      <c r="C43" s="78" t="s">
        <v>777</v>
      </c>
      <c r="D43" s="78" t="s">
        <v>258</v>
      </c>
      <c r="E43" s="78" t="s">
        <v>760</v>
      </c>
      <c r="F43" s="78" t="s">
        <v>214</v>
      </c>
      <c r="G43" s="78" t="s">
        <v>261</v>
      </c>
      <c r="H43" s="78" t="s">
        <v>48</v>
      </c>
      <c r="I43" s="78" t="s">
        <v>761</v>
      </c>
      <c r="J43" s="78" t="s">
        <v>263</v>
      </c>
    </row>
    <row r="44" customFormat="false" ht="15" hidden="false" customHeight="true" outlineLevel="0" collapsed="false">
      <c r="A44" s="78" t="s">
        <v>778</v>
      </c>
      <c r="B44" s="78" t="s">
        <v>591</v>
      </c>
      <c r="C44" s="78" t="s">
        <v>779</v>
      </c>
      <c r="D44" s="78" t="s">
        <v>258</v>
      </c>
      <c r="E44" s="78" t="s">
        <v>760</v>
      </c>
      <c r="F44" s="78" t="s">
        <v>214</v>
      </c>
      <c r="G44" s="78" t="s">
        <v>261</v>
      </c>
      <c r="H44" s="78" t="s">
        <v>26</v>
      </c>
      <c r="I44" s="78" t="s">
        <v>606</v>
      </c>
      <c r="J44" s="78" t="s">
        <v>263</v>
      </c>
    </row>
    <row r="45" customFormat="false" ht="15" hidden="false" customHeight="true" outlineLevel="0" collapsed="false">
      <c r="A45" s="78" t="s">
        <v>603</v>
      </c>
      <c r="B45" s="78" t="s">
        <v>591</v>
      </c>
      <c r="C45" s="78" t="s">
        <v>780</v>
      </c>
      <c r="D45" s="78" t="s">
        <v>258</v>
      </c>
      <c r="E45" s="78" t="s">
        <v>760</v>
      </c>
      <c r="F45" s="78" t="s">
        <v>653</v>
      </c>
      <c r="G45" s="78" t="s">
        <v>261</v>
      </c>
      <c r="H45" s="78" t="s">
        <v>26</v>
      </c>
      <c r="I45" s="78" t="s">
        <v>606</v>
      </c>
      <c r="J45" s="78" t="s">
        <v>263</v>
      </c>
    </row>
    <row r="46" customFormat="false" ht="15" hidden="false" customHeight="true" outlineLevel="0" collapsed="false">
      <c r="A46" s="78" t="s">
        <v>547</v>
      </c>
      <c r="B46" s="78" t="s">
        <v>591</v>
      </c>
      <c r="C46" s="78" t="s">
        <v>781</v>
      </c>
      <c r="D46" s="78" t="s">
        <v>258</v>
      </c>
      <c r="E46" s="78" t="s">
        <v>760</v>
      </c>
      <c r="F46" s="78" t="s">
        <v>240</v>
      </c>
      <c r="G46" s="78" t="s">
        <v>261</v>
      </c>
      <c r="H46" s="78" t="s">
        <v>48</v>
      </c>
      <c r="I46" s="78" t="s">
        <v>761</v>
      </c>
      <c r="J46" s="78" t="s">
        <v>263</v>
      </c>
    </row>
    <row r="47" customFormat="false" ht="15" hidden="false" customHeight="true" outlineLevel="0" collapsed="false">
      <c r="A47" s="78" t="s">
        <v>782</v>
      </c>
      <c r="B47" s="78" t="s">
        <v>591</v>
      </c>
      <c r="C47" s="78" t="s">
        <v>783</v>
      </c>
      <c r="D47" s="78" t="s">
        <v>258</v>
      </c>
      <c r="E47" s="78" t="s">
        <v>760</v>
      </c>
      <c r="F47" s="78" t="s">
        <v>240</v>
      </c>
      <c r="G47" s="78" t="s">
        <v>261</v>
      </c>
      <c r="H47" s="78" t="s">
        <v>14</v>
      </c>
      <c r="I47" s="78" t="s">
        <v>17</v>
      </c>
      <c r="J47" s="78" t="s">
        <v>263</v>
      </c>
    </row>
    <row r="48" customFormat="false" ht="15" hidden="false" customHeight="true" outlineLevel="0" collapsed="false">
      <c r="A48" s="78" t="s">
        <v>679</v>
      </c>
      <c r="B48" s="78" t="s">
        <v>591</v>
      </c>
      <c r="C48" s="78" t="s">
        <v>784</v>
      </c>
      <c r="D48" s="78" t="s">
        <v>258</v>
      </c>
      <c r="E48" s="78" t="s">
        <v>760</v>
      </c>
      <c r="F48" s="78" t="s">
        <v>214</v>
      </c>
      <c r="G48" s="78" t="s">
        <v>261</v>
      </c>
      <c r="H48" s="78" t="s">
        <v>42</v>
      </c>
      <c r="I48" s="78" t="s">
        <v>45</v>
      </c>
      <c r="J48" s="78" t="s">
        <v>263</v>
      </c>
    </row>
    <row r="49" customFormat="false" ht="15" hidden="false" customHeight="true" outlineLevel="0" collapsed="false">
      <c r="A49" s="78" t="s">
        <v>45</v>
      </c>
      <c r="B49" s="78" t="s">
        <v>591</v>
      </c>
      <c r="C49" s="78" t="s">
        <v>785</v>
      </c>
      <c r="D49" s="78" t="s">
        <v>258</v>
      </c>
      <c r="E49" s="78" t="s">
        <v>760</v>
      </c>
      <c r="F49" s="78" t="s">
        <v>214</v>
      </c>
      <c r="G49" s="78" t="s">
        <v>261</v>
      </c>
      <c r="H49" s="78" t="s">
        <v>52</v>
      </c>
      <c r="I49" s="78" t="s">
        <v>786</v>
      </c>
      <c r="J49" s="78" t="s">
        <v>263</v>
      </c>
    </row>
    <row r="50" customFormat="false" ht="15" hidden="false" customHeight="true" outlineLevel="0" collapsed="false">
      <c r="A50" s="78" t="s">
        <v>787</v>
      </c>
      <c r="B50" s="78" t="s">
        <v>591</v>
      </c>
      <c r="C50" s="78" t="s">
        <v>788</v>
      </c>
      <c r="D50" s="78" t="s">
        <v>258</v>
      </c>
      <c r="E50" s="78" t="s">
        <v>760</v>
      </c>
      <c r="F50" s="78" t="s">
        <v>214</v>
      </c>
      <c r="G50" s="78" t="s">
        <v>261</v>
      </c>
      <c r="H50" s="78" t="s">
        <v>14</v>
      </c>
      <c r="I50" s="78" t="s">
        <v>17</v>
      </c>
      <c r="J50" s="78" t="s">
        <v>263</v>
      </c>
    </row>
    <row r="51" customFormat="false" ht="15" hidden="false" customHeight="true" outlineLevel="0" collapsed="false">
      <c r="A51" s="78" t="s">
        <v>789</v>
      </c>
      <c r="B51" s="78" t="s">
        <v>591</v>
      </c>
      <c r="C51" s="78" t="s">
        <v>790</v>
      </c>
      <c r="D51" s="78" t="s">
        <v>258</v>
      </c>
      <c r="E51" s="78" t="s">
        <v>791</v>
      </c>
      <c r="F51" s="78" t="s">
        <v>185</v>
      </c>
      <c r="G51" s="78" t="s">
        <v>261</v>
      </c>
      <c r="H51" s="78" t="s">
        <v>48</v>
      </c>
      <c r="I51" s="78" t="s">
        <v>761</v>
      </c>
      <c r="J51" s="78" t="s">
        <v>263</v>
      </c>
    </row>
    <row r="53" customFormat="false" ht="15" hidden="false" customHeight="true" outlineLevel="0" collapsed="false">
      <c r="A53" s="72" t="s">
        <v>440</v>
      </c>
    </row>
    <row r="54" customFormat="false" ht="15" hidden="false" customHeight="true" outlineLevel="0" collapsed="false">
      <c r="A54" s="1" t="s">
        <v>792</v>
      </c>
      <c r="B54" s="1" t="s">
        <v>618</v>
      </c>
      <c r="C54" s="1" t="s">
        <v>793</v>
      </c>
      <c r="D54" s="1" t="s">
        <v>159</v>
      </c>
      <c r="E54" s="1" t="s">
        <v>794</v>
      </c>
      <c r="F54" s="1" t="s">
        <v>185</v>
      </c>
      <c r="G54" s="1" t="s">
        <v>446</v>
      </c>
      <c r="H54" s="1" t="s">
        <v>280</v>
      </c>
    </row>
    <row r="55" customFormat="false" ht="15" hidden="false" customHeight="true" outlineLevel="0" collapsed="false">
      <c r="A55" s="1" t="s">
        <v>795</v>
      </c>
      <c r="B55" s="1" t="s">
        <v>618</v>
      </c>
      <c r="C55" s="1" t="s">
        <v>796</v>
      </c>
      <c r="D55" s="1" t="s">
        <v>159</v>
      </c>
      <c r="E55" s="1" t="s">
        <v>797</v>
      </c>
      <c r="F55" s="1" t="s">
        <v>185</v>
      </c>
      <c r="G55" s="1" t="s">
        <v>446</v>
      </c>
      <c r="H55" s="1" t="s">
        <v>262</v>
      </c>
    </row>
    <row r="56" customFormat="false" ht="15" hidden="false" customHeight="true" outlineLevel="0" collapsed="false">
      <c r="A56" s="1" t="s">
        <v>725</v>
      </c>
      <c r="B56" s="1" t="s">
        <v>798</v>
      </c>
      <c r="C56" s="1" t="s">
        <v>799</v>
      </c>
      <c r="D56" s="1" t="s">
        <v>159</v>
      </c>
      <c r="E56" s="1" t="s">
        <v>800</v>
      </c>
      <c r="F56" s="1" t="s">
        <v>214</v>
      </c>
      <c r="G56" s="1" t="s">
        <v>446</v>
      </c>
      <c r="H56" s="1" t="s">
        <v>372</v>
      </c>
    </row>
    <row r="57" customFormat="false" ht="15" hidden="false" customHeight="true" outlineLevel="0" collapsed="false">
      <c r="A57" s="1" t="s">
        <v>801</v>
      </c>
      <c r="B57" s="1" t="s">
        <v>618</v>
      </c>
      <c r="C57" s="1" t="s">
        <v>802</v>
      </c>
      <c r="D57" s="1" t="s">
        <v>159</v>
      </c>
      <c r="E57" s="1" t="s">
        <v>803</v>
      </c>
      <c r="F57" s="1" t="s">
        <v>185</v>
      </c>
      <c r="G57" s="1" t="s">
        <v>446</v>
      </c>
      <c r="H57" s="1" t="s">
        <v>739</v>
      </c>
    </row>
    <row r="58" customFormat="false" ht="15" hidden="false" customHeight="true" outlineLevel="0" collapsed="false">
      <c r="A58" s="1" t="s">
        <v>804</v>
      </c>
      <c r="B58" s="1" t="s">
        <v>805</v>
      </c>
      <c r="C58" s="1" t="s">
        <v>806</v>
      </c>
      <c r="D58" s="1" t="s">
        <v>159</v>
      </c>
      <c r="E58" s="1" t="s">
        <v>807</v>
      </c>
      <c r="F58" s="1" t="s">
        <v>185</v>
      </c>
      <c r="G58" s="1" t="s">
        <v>446</v>
      </c>
      <c r="H58" s="1" t="s">
        <v>262</v>
      </c>
    </row>
    <row r="59" customFormat="false" ht="15" hidden="false" customHeight="true" outlineLevel="0" collapsed="false">
      <c r="A59" s="1" t="s">
        <v>808</v>
      </c>
      <c r="B59" s="1" t="s">
        <v>618</v>
      </c>
      <c r="C59" s="1" t="s">
        <v>809</v>
      </c>
      <c r="D59" s="1" t="s">
        <v>159</v>
      </c>
      <c r="E59" s="1" t="s">
        <v>810</v>
      </c>
      <c r="F59" s="1" t="s">
        <v>214</v>
      </c>
      <c r="G59" s="1" t="s">
        <v>446</v>
      </c>
      <c r="H59" s="1" t="s">
        <v>811</v>
      </c>
    </row>
    <row r="61" customFormat="false" ht="15" hidden="false" customHeight="true" outlineLevel="0" collapsed="false">
      <c r="A61" s="79" t="s">
        <v>812</v>
      </c>
      <c r="B61" s="80"/>
      <c r="C61" s="80"/>
      <c r="D61" s="80"/>
    </row>
    <row r="62" customFormat="false" ht="15" hidden="false" customHeight="true" outlineLevel="0" collapsed="false">
      <c r="A62" s="81" t="s">
        <v>813</v>
      </c>
      <c r="B62" s="81" t="s">
        <v>814</v>
      </c>
      <c r="C62" s="81" t="s">
        <v>630</v>
      </c>
      <c r="D62" s="81" t="s">
        <v>631</v>
      </c>
    </row>
    <row r="63" customFormat="false" ht="15" hidden="false" customHeight="true" outlineLevel="0" collapsed="false">
      <c r="A63" s="81" t="s">
        <v>815</v>
      </c>
      <c r="B63" s="81" t="s">
        <v>816</v>
      </c>
      <c r="C63" s="81" t="s">
        <v>630</v>
      </c>
      <c r="D63" s="81" t="s">
        <v>631</v>
      </c>
    </row>
    <row r="64" customFormat="false" ht="15" hidden="false" customHeight="true" outlineLevel="0" collapsed="false">
      <c r="A64" s="81" t="s">
        <v>817</v>
      </c>
      <c r="B64" s="81" t="s">
        <v>818</v>
      </c>
      <c r="C64" s="81" t="s">
        <v>630</v>
      </c>
      <c r="D64" s="81" t="s">
        <v>631</v>
      </c>
    </row>
    <row r="65" customFormat="false" ht="15" hidden="false" customHeight="true" outlineLevel="0" collapsed="false">
      <c r="A65" s="81" t="s">
        <v>819</v>
      </c>
      <c r="B65" s="81" t="s">
        <v>820</v>
      </c>
      <c r="C65" s="81" t="s">
        <v>630</v>
      </c>
      <c r="D65" s="81" t="s">
        <v>631</v>
      </c>
    </row>
    <row r="66" customFormat="false" ht="15" hidden="false" customHeight="true" outlineLevel="0" collapsed="false">
      <c r="A66" s="81" t="s">
        <v>821</v>
      </c>
      <c r="B66" s="81" t="s">
        <v>822</v>
      </c>
      <c r="C66" s="81" t="s">
        <v>630</v>
      </c>
      <c r="D66" s="81" t="s">
        <v>631</v>
      </c>
    </row>
  </sheetData>
  <autoFilter ref="A1:J34"/>
  <dataValidations count="3">
    <dataValidation allowBlank="true" error="Use ☐ or ☑" errorStyle="stop" errorTitle="Invalid" operator="between" showDropDown="false" showErrorMessage="false" showInputMessage="false" sqref="G2:G34" type="list">
      <formula1>"☐,☑"</formula1>
      <formula2>0</formula2>
    </dataValidation>
    <dataValidation allowBlank="true" errorStyle="stop" operator="between" showDropDown="false" showErrorMessage="false" showInputMessage="false" sqref="H2:H34" type="list">
      <formula1>"AR,PK,VS,NK,DM,SP,RG,AM,KS,PAIR,ALL"</formula1>
      <formula2>0</formula2>
    </dataValidation>
    <dataValidation allowBlank="true" errorStyle="stop" operator="between" showDropDown="false" showErrorMessage="false" showInputMessage="false" sqref="J2:J34" type="list">
      <formula1>"NOT STARTED,IN PROGRESS,IN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78BFA"/>
    <pageSetUpPr fitToPage="false"/>
  </sheetPr>
  <dimension ref="A1:J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true" zeroHeight="false" outlineLevelRow="0" outlineLevelCol="0"/>
  <cols>
    <col collapsed="false" customWidth="true" hidden="false" outlineLevel="0" max="1" min="1" style="1" width="22"/>
    <col collapsed="false" customWidth="true" hidden="false" outlineLevel="0" max="2" min="2" style="1" width="35"/>
    <col collapsed="false" customWidth="true" hidden="false" outlineLevel="0" max="3" min="3" style="1" width="30"/>
    <col collapsed="false" customWidth="true" hidden="false" outlineLevel="0" max="4" min="4" style="1" width="14"/>
    <col collapsed="false" customWidth="true" hidden="false" outlineLevel="0" max="5" min="5" style="1" width="65"/>
    <col collapsed="false" customWidth="true" hidden="false" outlineLevel="0" max="6" min="6" style="1" width="8"/>
    <col collapsed="false" customWidth="true" hidden="false" outlineLevel="0" max="7" min="7" style="1" width="7"/>
    <col collapsed="false" customWidth="true" hidden="false" outlineLevel="0" max="8" min="8" style="1" width="18"/>
    <col collapsed="false" customWidth="true" hidden="false" outlineLevel="0" max="10" min="9" style="1" width="16"/>
  </cols>
  <sheetData>
    <row r="1" customFormat="false" ht="26.25" hidden="false" customHeight="true" outlineLevel="0" collapsed="false">
      <c r="A1" s="4" t="s">
        <v>823</v>
      </c>
      <c r="B1" s="4" t="s">
        <v>90</v>
      </c>
      <c r="C1" s="4" t="s">
        <v>91</v>
      </c>
      <c r="D1" s="4" t="s">
        <v>150</v>
      </c>
      <c r="E1" s="4" t="s">
        <v>824</v>
      </c>
      <c r="F1" s="4" t="s">
        <v>143</v>
      </c>
      <c r="G1" s="4" t="s">
        <v>252</v>
      </c>
      <c r="H1" s="4" t="s">
        <v>253</v>
      </c>
      <c r="I1" s="4" t="s">
        <v>5</v>
      </c>
      <c r="J1" s="4" t="s">
        <v>254</v>
      </c>
    </row>
    <row r="2" customFormat="false" ht="23.25" hidden="false" customHeight="true" outlineLevel="0" collapsed="false">
      <c r="A2" s="34" t="s">
        <v>825</v>
      </c>
      <c r="B2" s="34" t="s">
        <v>826</v>
      </c>
      <c r="C2" s="34" t="s">
        <v>827</v>
      </c>
      <c r="D2" s="34" t="s">
        <v>258</v>
      </c>
      <c r="E2" s="34" t="s">
        <v>828</v>
      </c>
      <c r="F2" s="36" t="s">
        <v>153</v>
      </c>
      <c r="G2" s="37" t="s">
        <v>261</v>
      </c>
      <c r="H2" s="84" t="s">
        <v>739</v>
      </c>
      <c r="I2" s="39" t="s">
        <v>55</v>
      </c>
      <c r="J2" s="40" t="s">
        <v>263</v>
      </c>
    </row>
    <row r="3" customFormat="false" ht="34.5" hidden="false" customHeight="true" outlineLevel="0" collapsed="false">
      <c r="A3" s="11" t="s">
        <v>829</v>
      </c>
      <c r="B3" s="11" t="s">
        <v>830</v>
      </c>
      <c r="C3" s="11" t="s">
        <v>831</v>
      </c>
      <c r="D3" s="85" t="s">
        <v>258</v>
      </c>
      <c r="E3" s="11" t="s">
        <v>832</v>
      </c>
      <c r="F3" s="59" t="s">
        <v>153</v>
      </c>
      <c r="G3" s="44" t="s">
        <v>261</v>
      </c>
      <c r="H3" s="86" t="s">
        <v>739</v>
      </c>
      <c r="I3" s="12" t="s">
        <v>55</v>
      </c>
      <c r="J3" s="58" t="s">
        <v>263</v>
      </c>
    </row>
    <row r="4" customFormat="false" ht="23.25" hidden="false" customHeight="true" outlineLevel="0" collapsed="false">
      <c r="A4" s="34" t="s">
        <v>833</v>
      </c>
      <c r="B4" s="34" t="s">
        <v>834</v>
      </c>
      <c r="C4" s="34" t="s">
        <v>835</v>
      </c>
      <c r="D4" s="35" t="s">
        <v>258</v>
      </c>
      <c r="E4" s="34" t="s">
        <v>836</v>
      </c>
      <c r="F4" s="35" t="s">
        <v>185</v>
      </c>
      <c r="G4" s="37" t="s">
        <v>261</v>
      </c>
      <c r="H4" s="84" t="s">
        <v>739</v>
      </c>
      <c r="I4" s="39" t="s">
        <v>55</v>
      </c>
      <c r="J4" s="41" t="s">
        <v>263</v>
      </c>
    </row>
    <row r="5" customFormat="false" ht="23.25" hidden="false" customHeight="true" outlineLevel="0" collapsed="false">
      <c r="A5" s="34" t="s">
        <v>837</v>
      </c>
      <c r="B5" s="34" t="s">
        <v>838</v>
      </c>
      <c r="C5" s="34" t="s">
        <v>839</v>
      </c>
      <c r="D5" s="36" t="s">
        <v>258</v>
      </c>
      <c r="E5" s="34" t="s">
        <v>840</v>
      </c>
      <c r="F5" s="36" t="s">
        <v>153</v>
      </c>
      <c r="G5" s="37" t="s">
        <v>261</v>
      </c>
      <c r="H5" s="84" t="s">
        <v>739</v>
      </c>
      <c r="I5" s="39" t="s">
        <v>55</v>
      </c>
      <c r="J5" s="41" t="s">
        <v>263</v>
      </c>
    </row>
    <row r="6" customFormat="false" ht="23.25" hidden="false" customHeight="true" outlineLevel="0" collapsed="false">
      <c r="A6" s="7" t="s">
        <v>841</v>
      </c>
      <c r="B6" s="7" t="s">
        <v>842</v>
      </c>
      <c r="C6" s="7" t="s">
        <v>288</v>
      </c>
      <c r="D6" s="42" t="s">
        <v>258</v>
      </c>
      <c r="E6" s="7" t="s">
        <v>843</v>
      </c>
      <c r="F6" s="66" t="s">
        <v>185</v>
      </c>
      <c r="G6" s="44" t="s">
        <v>261</v>
      </c>
      <c r="H6" s="82" t="s">
        <v>739</v>
      </c>
      <c r="I6" s="8" t="s">
        <v>55</v>
      </c>
      <c r="J6" s="46" t="s">
        <v>263</v>
      </c>
    </row>
    <row r="7" customFormat="false" ht="15" hidden="false" customHeight="true" outlineLevel="0" collapsed="false">
      <c r="A7" s="11" t="s">
        <v>844</v>
      </c>
      <c r="B7" s="11" t="s">
        <v>845</v>
      </c>
      <c r="C7" s="11" t="s">
        <v>846</v>
      </c>
      <c r="D7" s="11" t="s">
        <v>258</v>
      </c>
      <c r="E7" s="11" t="s">
        <v>847</v>
      </c>
      <c r="F7" s="48" t="s">
        <v>848</v>
      </c>
      <c r="G7" s="44" t="s">
        <v>261</v>
      </c>
      <c r="H7" s="86" t="s">
        <v>739</v>
      </c>
      <c r="I7" s="12" t="s">
        <v>55</v>
      </c>
      <c r="J7" s="50" t="s">
        <v>397</v>
      </c>
    </row>
    <row r="8" customFormat="false" ht="23.25" hidden="false" customHeight="true" outlineLevel="0" collapsed="false">
      <c r="A8" s="34" t="s">
        <v>849</v>
      </c>
      <c r="B8" s="34" t="s">
        <v>850</v>
      </c>
      <c r="C8" s="34" t="s">
        <v>851</v>
      </c>
      <c r="D8" s="36" t="s">
        <v>258</v>
      </c>
      <c r="E8" s="34" t="s">
        <v>852</v>
      </c>
      <c r="F8" s="36" t="s">
        <v>153</v>
      </c>
      <c r="G8" s="37" t="s">
        <v>261</v>
      </c>
      <c r="H8" s="84" t="s">
        <v>739</v>
      </c>
      <c r="I8" s="39" t="s">
        <v>55</v>
      </c>
      <c r="J8" s="41" t="s">
        <v>263</v>
      </c>
    </row>
    <row r="9" customFormat="false" ht="15" hidden="false" customHeight="true" outlineLevel="0" collapsed="false">
      <c r="A9" s="34" t="s">
        <v>853</v>
      </c>
      <c r="B9" s="34" t="s">
        <v>854</v>
      </c>
      <c r="C9" s="34" t="s">
        <v>855</v>
      </c>
      <c r="D9" s="36" t="s">
        <v>258</v>
      </c>
      <c r="E9" s="34" t="s">
        <v>856</v>
      </c>
      <c r="F9" s="36" t="s">
        <v>153</v>
      </c>
      <c r="G9" s="37" t="s">
        <v>261</v>
      </c>
      <c r="H9" s="52" t="s">
        <v>307</v>
      </c>
      <c r="I9" s="39" t="s">
        <v>45</v>
      </c>
      <c r="J9" s="41" t="s">
        <v>263</v>
      </c>
    </row>
    <row r="10" customFormat="false" ht="15" hidden="false" customHeight="true" outlineLevel="0" collapsed="false">
      <c r="A10" s="34" t="s">
        <v>857</v>
      </c>
      <c r="B10" s="34" t="s">
        <v>858</v>
      </c>
      <c r="C10" s="34" t="s">
        <v>859</v>
      </c>
      <c r="D10" s="36" t="s">
        <v>258</v>
      </c>
      <c r="E10" s="34" t="s">
        <v>860</v>
      </c>
      <c r="F10" s="35" t="s">
        <v>185</v>
      </c>
      <c r="G10" s="37" t="s">
        <v>261</v>
      </c>
      <c r="H10" s="52" t="s">
        <v>307</v>
      </c>
      <c r="I10" s="39" t="s">
        <v>45</v>
      </c>
      <c r="J10" s="41" t="s">
        <v>263</v>
      </c>
    </row>
    <row r="11" customFormat="false" ht="23.25" hidden="false" customHeight="true" outlineLevel="0" collapsed="false">
      <c r="A11" s="11" t="s">
        <v>861</v>
      </c>
      <c r="B11" s="11" t="s">
        <v>862</v>
      </c>
      <c r="C11" s="11" t="s">
        <v>288</v>
      </c>
      <c r="D11" s="42" t="s">
        <v>289</v>
      </c>
      <c r="E11" s="11" t="s">
        <v>863</v>
      </c>
      <c r="F11" s="48" t="s">
        <v>185</v>
      </c>
      <c r="G11" s="44" t="s">
        <v>261</v>
      </c>
      <c r="H11" s="65" t="s">
        <v>307</v>
      </c>
      <c r="I11" s="12" t="s">
        <v>45</v>
      </c>
      <c r="J11" s="50" t="s">
        <v>263</v>
      </c>
    </row>
    <row r="12" customFormat="false" ht="15" hidden="false" customHeight="true" outlineLevel="0" collapsed="false">
      <c r="A12" s="7" t="s">
        <v>864</v>
      </c>
      <c r="B12" s="7" t="s">
        <v>865</v>
      </c>
      <c r="C12" s="7" t="s">
        <v>866</v>
      </c>
      <c r="D12" s="42" t="s">
        <v>867</v>
      </c>
      <c r="E12" s="7" t="s">
        <v>868</v>
      </c>
      <c r="F12" s="66" t="s">
        <v>185</v>
      </c>
      <c r="G12" s="44" t="s">
        <v>261</v>
      </c>
      <c r="H12" s="63" t="s">
        <v>307</v>
      </c>
      <c r="I12" s="8" t="s">
        <v>45</v>
      </c>
      <c r="J12" s="46" t="s">
        <v>263</v>
      </c>
    </row>
    <row r="13" customFormat="false" ht="23.25" hidden="false" customHeight="true" outlineLevel="0" collapsed="false">
      <c r="A13" s="34" t="s">
        <v>642</v>
      </c>
      <c r="B13" s="34" t="s">
        <v>869</v>
      </c>
      <c r="C13" s="34" t="s">
        <v>870</v>
      </c>
      <c r="D13" s="35" t="s">
        <v>258</v>
      </c>
      <c r="E13" s="34" t="s">
        <v>871</v>
      </c>
      <c r="F13" s="36" t="s">
        <v>153</v>
      </c>
      <c r="G13" s="37" t="s">
        <v>261</v>
      </c>
      <c r="H13" s="47" t="s">
        <v>280</v>
      </c>
      <c r="I13" s="39" t="s">
        <v>17</v>
      </c>
      <c r="J13" s="40" t="s">
        <v>263</v>
      </c>
    </row>
    <row r="14" customFormat="false" ht="15" hidden="false" customHeight="true" outlineLevel="0" collapsed="false">
      <c r="A14" s="7" t="s">
        <v>872</v>
      </c>
      <c r="B14" s="7" t="s">
        <v>873</v>
      </c>
      <c r="C14" s="7" t="s">
        <v>288</v>
      </c>
      <c r="D14" s="42" t="s">
        <v>258</v>
      </c>
      <c r="E14" s="7" t="s">
        <v>874</v>
      </c>
      <c r="F14" s="66" t="s">
        <v>185</v>
      </c>
      <c r="G14" s="44" t="s">
        <v>261</v>
      </c>
      <c r="H14" s="82" t="s">
        <v>739</v>
      </c>
      <c r="I14" s="8" t="s">
        <v>55</v>
      </c>
      <c r="J14" s="46" t="s">
        <v>263</v>
      </c>
    </row>
    <row r="15" customFormat="false" ht="15" hidden="false" customHeight="true" outlineLevel="0" collapsed="false">
      <c r="A15" s="11" t="s">
        <v>875</v>
      </c>
      <c r="B15" s="11" t="s">
        <v>876</v>
      </c>
      <c r="C15" s="11" t="s">
        <v>288</v>
      </c>
      <c r="D15" s="42" t="s">
        <v>258</v>
      </c>
      <c r="E15" s="11" t="s">
        <v>877</v>
      </c>
      <c r="F15" s="64" t="s">
        <v>214</v>
      </c>
      <c r="G15" s="44" t="s">
        <v>261</v>
      </c>
      <c r="H15" s="86" t="s">
        <v>739</v>
      </c>
      <c r="I15" s="12" t="s">
        <v>55</v>
      </c>
      <c r="J15" s="50" t="s">
        <v>263</v>
      </c>
    </row>
    <row r="16" customFormat="false" ht="15" hidden="false" customHeight="true" outlineLevel="0" collapsed="false">
      <c r="A16" s="34" t="s">
        <v>878</v>
      </c>
      <c r="B16" s="34" t="s">
        <v>879</v>
      </c>
      <c r="C16" s="34" t="s">
        <v>880</v>
      </c>
      <c r="D16" s="36" t="s">
        <v>258</v>
      </c>
      <c r="E16" s="34" t="s">
        <v>881</v>
      </c>
      <c r="F16" s="35" t="s">
        <v>185</v>
      </c>
      <c r="G16" s="37" t="s">
        <v>261</v>
      </c>
      <c r="H16" s="84" t="s">
        <v>739</v>
      </c>
      <c r="I16" s="39" t="s">
        <v>55</v>
      </c>
      <c r="J16" s="41" t="s">
        <v>263</v>
      </c>
    </row>
    <row r="17" customFormat="false" ht="15" hidden="false" customHeight="true" outlineLevel="0" collapsed="false">
      <c r="A17" s="11" t="s">
        <v>882</v>
      </c>
      <c r="B17" s="11" t="s">
        <v>288</v>
      </c>
      <c r="C17" s="11" t="s">
        <v>883</v>
      </c>
      <c r="D17" s="42" t="s">
        <v>258</v>
      </c>
      <c r="E17" s="11" t="s">
        <v>884</v>
      </c>
      <c r="F17" s="59" t="s">
        <v>153</v>
      </c>
      <c r="G17" s="44" t="s">
        <v>261</v>
      </c>
      <c r="H17" s="70" t="s">
        <v>262</v>
      </c>
      <c r="I17" s="12" t="s">
        <v>23</v>
      </c>
      <c r="J17" s="58" t="s">
        <v>263</v>
      </c>
    </row>
    <row r="18" customFormat="false" ht="23.25" hidden="false" customHeight="true" outlineLevel="0" collapsed="false">
      <c r="A18" s="7" t="s">
        <v>885</v>
      </c>
      <c r="B18" s="7" t="s">
        <v>886</v>
      </c>
      <c r="C18" s="7" t="s">
        <v>887</v>
      </c>
      <c r="D18" s="42" t="s">
        <v>258</v>
      </c>
      <c r="E18" s="7" t="s">
        <v>888</v>
      </c>
      <c r="F18" s="43" t="s">
        <v>153</v>
      </c>
      <c r="G18" s="44" t="s">
        <v>261</v>
      </c>
      <c r="H18" s="82" t="s">
        <v>739</v>
      </c>
      <c r="I18" s="8" t="s">
        <v>55</v>
      </c>
      <c r="J18" s="58" t="s">
        <v>263</v>
      </c>
    </row>
    <row r="19" customFormat="false" ht="23.25" hidden="false" customHeight="true" outlineLevel="0" collapsed="false">
      <c r="A19" s="11" t="s">
        <v>889</v>
      </c>
      <c r="B19" s="11" t="s">
        <v>890</v>
      </c>
      <c r="C19" s="11" t="s">
        <v>288</v>
      </c>
      <c r="D19" s="42" t="s">
        <v>258</v>
      </c>
      <c r="E19" s="11" t="s">
        <v>891</v>
      </c>
      <c r="F19" s="48" t="s">
        <v>185</v>
      </c>
      <c r="G19" s="44" t="s">
        <v>261</v>
      </c>
      <c r="H19" s="86" t="s">
        <v>739</v>
      </c>
      <c r="I19" s="12" t="s">
        <v>55</v>
      </c>
      <c r="J19" s="50" t="s">
        <v>263</v>
      </c>
    </row>
    <row r="20" customFormat="false" ht="15" hidden="false" customHeight="true" outlineLevel="0" collapsed="false">
      <c r="A20" s="7" t="s">
        <v>892</v>
      </c>
      <c r="B20" s="7" t="s">
        <v>893</v>
      </c>
      <c r="C20" s="7" t="s">
        <v>288</v>
      </c>
      <c r="D20" s="42" t="s">
        <v>289</v>
      </c>
      <c r="E20" s="7" t="s">
        <v>894</v>
      </c>
      <c r="F20" s="62" t="s">
        <v>214</v>
      </c>
      <c r="G20" s="44" t="s">
        <v>261</v>
      </c>
      <c r="H20" s="82" t="s">
        <v>739</v>
      </c>
      <c r="I20" s="8" t="s">
        <v>55</v>
      </c>
      <c r="J20" s="46" t="s">
        <v>263</v>
      </c>
    </row>
    <row r="21" customFormat="false" ht="23.25" hidden="false" customHeight="true" outlineLevel="0" collapsed="false">
      <c r="A21" s="11" t="s">
        <v>895</v>
      </c>
      <c r="B21" s="11" t="s">
        <v>896</v>
      </c>
      <c r="C21" s="11" t="s">
        <v>897</v>
      </c>
      <c r="D21" s="85" t="s">
        <v>867</v>
      </c>
      <c r="E21" s="11" t="s">
        <v>898</v>
      </c>
      <c r="F21" s="48" t="s">
        <v>185</v>
      </c>
      <c r="G21" s="44" t="s">
        <v>261</v>
      </c>
      <c r="H21" s="49" t="s">
        <v>280</v>
      </c>
      <c r="I21" s="12" t="s">
        <v>17</v>
      </c>
      <c r="J21" s="50" t="s">
        <v>263</v>
      </c>
    </row>
    <row r="22" customFormat="false" ht="15" hidden="false" customHeight="true" outlineLevel="0" collapsed="false">
      <c r="A22" s="78" t="s">
        <v>899</v>
      </c>
      <c r="B22" s="78" t="s">
        <v>591</v>
      </c>
      <c r="C22" s="78" t="s">
        <v>900</v>
      </c>
      <c r="D22" s="78" t="s">
        <v>258</v>
      </c>
      <c r="E22" s="78" t="s">
        <v>901</v>
      </c>
      <c r="F22" s="78" t="s">
        <v>214</v>
      </c>
      <c r="G22" s="78" t="s">
        <v>261</v>
      </c>
      <c r="H22" s="78" t="s">
        <v>37</v>
      </c>
      <c r="I22" s="78" t="s">
        <v>902</v>
      </c>
      <c r="J22" s="78" t="s">
        <v>263</v>
      </c>
    </row>
    <row r="23" customFormat="false" ht="15" hidden="false" customHeight="true" outlineLevel="0" collapsed="false">
      <c r="A23" s="78" t="s">
        <v>903</v>
      </c>
      <c r="B23" s="78" t="s">
        <v>591</v>
      </c>
      <c r="C23" s="78" t="s">
        <v>904</v>
      </c>
      <c r="D23" s="78" t="s">
        <v>258</v>
      </c>
      <c r="E23" s="78" t="s">
        <v>905</v>
      </c>
      <c r="F23" s="78" t="s">
        <v>185</v>
      </c>
      <c r="G23" s="78" t="s">
        <v>261</v>
      </c>
      <c r="H23" s="78" t="s">
        <v>48</v>
      </c>
      <c r="I23" s="78" t="s">
        <v>761</v>
      </c>
      <c r="J23" s="78" t="s">
        <v>263</v>
      </c>
    </row>
    <row r="24" customFormat="false" ht="15" hidden="false" customHeight="true" outlineLevel="0" collapsed="false">
      <c r="A24" s="78" t="s">
        <v>906</v>
      </c>
      <c r="B24" s="78" t="s">
        <v>591</v>
      </c>
      <c r="C24" s="78" t="s">
        <v>907</v>
      </c>
      <c r="D24" s="78" t="s">
        <v>258</v>
      </c>
      <c r="E24" s="78" t="s">
        <v>908</v>
      </c>
      <c r="F24" s="78" t="s">
        <v>214</v>
      </c>
      <c r="G24" s="78" t="s">
        <v>261</v>
      </c>
      <c r="H24" s="78" t="s">
        <v>58</v>
      </c>
      <c r="I24" s="78" t="s">
        <v>909</v>
      </c>
      <c r="J24" s="78" t="s">
        <v>263</v>
      </c>
    </row>
    <row r="26" customFormat="false" ht="15" hidden="false" customHeight="true" outlineLevel="0" collapsed="false">
      <c r="A26" s="72" t="s">
        <v>440</v>
      </c>
    </row>
    <row r="27" customFormat="false" ht="15" hidden="false" customHeight="true" outlineLevel="0" collapsed="false">
      <c r="A27" s="1" t="s">
        <v>910</v>
      </c>
      <c r="B27" s="1" t="s">
        <v>618</v>
      </c>
      <c r="C27" s="1" t="s">
        <v>793</v>
      </c>
      <c r="D27" s="1" t="s">
        <v>159</v>
      </c>
      <c r="E27" s="1" t="s">
        <v>911</v>
      </c>
      <c r="F27" s="1" t="s">
        <v>185</v>
      </c>
      <c r="G27" s="1" t="s">
        <v>446</v>
      </c>
      <c r="H27" s="1" t="s">
        <v>280</v>
      </c>
    </row>
    <row r="28" customFormat="false" ht="15" hidden="false" customHeight="true" outlineLevel="0" collapsed="false">
      <c r="A28" s="1" t="s">
        <v>912</v>
      </c>
      <c r="B28" s="1" t="s">
        <v>913</v>
      </c>
      <c r="C28" s="1" t="s">
        <v>802</v>
      </c>
      <c r="D28" s="1" t="s">
        <v>159</v>
      </c>
      <c r="E28" s="1" t="s">
        <v>914</v>
      </c>
      <c r="F28" s="1" t="s">
        <v>185</v>
      </c>
      <c r="G28" s="1" t="s">
        <v>446</v>
      </c>
      <c r="H28" s="1" t="s">
        <v>739</v>
      </c>
    </row>
    <row r="29" customFormat="false" ht="15" hidden="false" customHeight="true" outlineLevel="0" collapsed="false">
      <c r="A29" s="1" t="s">
        <v>915</v>
      </c>
      <c r="B29" s="1" t="s">
        <v>618</v>
      </c>
      <c r="C29" s="1" t="s">
        <v>916</v>
      </c>
      <c r="D29" s="1" t="s">
        <v>159</v>
      </c>
      <c r="E29" s="1" t="s">
        <v>917</v>
      </c>
      <c r="F29" s="1" t="s">
        <v>214</v>
      </c>
      <c r="G29" s="1" t="s">
        <v>446</v>
      </c>
      <c r="H29" s="1" t="s">
        <v>262</v>
      </c>
    </row>
    <row r="31" customFormat="false" ht="15" hidden="false" customHeight="true" outlineLevel="0" collapsed="false">
      <c r="A31" s="79" t="s">
        <v>918</v>
      </c>
      <c r="B31" s="80"/>
      <c r="C31" s="80"/>
      <c r="D31" s="80"/>
    </row>
    <row r="32" customFormat="false" ht="15" hidden="false" customHeight="true" outlineLevel="0" collapsed="false">
      <c r="A32" s="81" t="s">
        <v>919</v>
      </c>
      <c r="B32" s="81" t="s">
        <v>920</v>
      </c>
      <c r="C32" s="81" t="s">
        <v>630</v>
      </c>
      <c r="D32" s="81" t="s">
        <v>631</v>
      </c>
    </row>
    <row r="33" customFormat="false" ht="15" hidden="false" customHeight="true" outlineLevel="0" collapsed="false">
      <c r="A33" s="81" t="s">
        <v>921</v>
      </c>
      <c r="B33" s="81" t="s">
        <v>922</v>
      </c>
      <c r="C33" s="81" t="s">
        <v>630</v>
      </c>
      <c r="D33" s="81" t="s">
        <v>631</v>
      </c>
    </row>
    <row r="34" customFormat="false" ht="15" hidden="false" customHeight="true" outlineLevel="0" collapsed="false">
      <c r="A34" s="81" t="s">
        <v>923</v>
      </c>
      <c r="B34" s="81" t="s">
        <v>924</v>
      </c>
      <c r="C34" s="81" t="s">
        <v>630</v>
      </c>
      <c r="D34" s="81" t="s">
        <v>631</v>
      </c>
    </row>
  </sheetData>
  <autoFilter ref="A1:J21"/>
  <dataValidations count="3">
    <dataValidation allowBlank="true" error="Use ☐ or ☑" errorStyle="stop" errorTitle="Invalid" operator="between" showDropDown="false" showErrorMessage="false" showInputMessage="false" sqref="G2:G21" type="list">
      <formula1>"☐,☑"</formula1>
      <formula2>0</formula2>
    </dataValidation>
    <dataValidation allowBlank="true" errorStyle="stop" operator="between" showDropDown="false" showErrorMessage="false" showInputMessage="false" sqref="H2:H21" type="list">
      <formula1>"AR,PK,VS,NK,DM,SP,RG,AM,KS,PAIR,ALL"</formula1>
      <formula2>0</formula2>
    </dataValidation>
    <dataValidation allowBlank="true" errorStyle="stop" operator="between" showDropDown="false" showErrorMessage="false" showInputMessage="false" sqref="J2:J21" type="list">
      <formula1>"NOT STARTED,IN PROGRESS,IN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DE80"/>
    <pageSetUpPr fitToPage="false"/>
  </sheetPr>
  <dimension ref="A1:K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defaultColWidth="8.66796875" defaultRowHeight="15" customHeight="true"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55"/>
    <col collapsed="false" customWidth="true" hidden="false" outlineLevel="0" max="4" min="4" style="1" width="20"/>
    <col collapsed="false" customWidth="true" hidden="false" outlineLevel="0" max="5" min="5" style="1" width="12"/>
    <col collapsed="false" customWidth="true" hidden="false" outlineLevel="0" max="6" min="6" style="1" width="28"/>
    <col collapsed="false" customWidth="true" hidden="false" outlineLevel="0" max="7" min="7" style="1" width="50"/>
    <col collapsed="false" customWidth="true" hidden="false" outlineLevel="0" max="8" min="8" style="1" width="7"/>
    <col collapsed="false" customWidth="true" hidden="false" outlineLevel="0" max="9" min="9" style="1" width="18"/>
    <col collapsed="false" customWidth="true" hidden="false" outlineLevel="0" max="11" min="10" style="1" width="16"/>
  </cols>
  <sheetData>
    <row r="1" customFormat="false" ht="15" hidden="false" customHeight="true" outlineLevel="0" collapsed="false">
      <c r="A1" s="4" t="s">
        <v>925</v>
      </c>
      <c r="B1" s="4" t="s">
        <v>926</v>
      </c>
      <c r="C1" s="4" t="s">
        <v>927</v>
      </c>
      <c r="D1" s="4" t="s">
        <v>928</v>
      </c>
      <c r="E1" s="4" t="s">
        <v>929</v>
      </c>
      <c r="F1" s="4" t="s">
        <v>930</v>
      </c>
      <c r="G1" s="4" t="s">
        <v>931</v>
      </c>
      <c r="H1" s="4" t="s">
        <v>252</v>
      </c>
      <c r="I1" s="4" t="s">
        <v>253</v>
      </c>
      <c r="J1" s="4" t="s">
        <v>5</v>
      </c>
      <c r="K1" s="4" t="s">
        <v>254</v>
      </c>
    </row>
    <row r="2" customFormat="false" ht="15" hidden="false" customHeight="true" outlineLevel="0" collapsed="false">
      <c r="A2" s="36" t="s">
        <v>932</v>
      </c>
      <c r="B2" s="34" t="s">
        <v>933</v>
      </c>
      <c r="C2" s="34" t="s">
        <v>934</v>
      </c>
      <c r="D2" s="34" t="s">
        <v>935</v>
      </c>
      <c r="E2" s="34" t="s">
        <v>936</v>
      </c>
      <c r="F2" s="34" t="s">
        <v>288</v>
      </c>
      <c r="G2" s="34" t="s">
        <v>937</v>
      </c>
      <c r="H2" s="37" t="s">
        <v>261</v>
      </c>
      <c r="I2" s="47" t="s">
        <v>280</v>
      </c>
      <c r="J2" s="39" t="s">
        <v>17</v>
      </c>
      <c r="K2" s="41" t="s">
        <v>263</v>
      </c>
    </row>
    <row r="3" customFormat="false" ht="15" hidden="false" customHeight="true" outlineLevel="0" collapsed="false">
      <c r="A3" s="36" t="s">
        <v>932</v>
      </c>
      <c r="B3" s="34" t="s">
        <v>933</v>
      </c>
      <c r="C3" s="34" t="s">
        <v>938</v>
      </c>
      <c r="D3" s="34" t="s">
        <v>939</v>
      </c>
      <c r="E3" s="34" t="s">
        <v>940</v>
      </c>
      <c r="F3" s="34" t="s">
        <v>288</v>
      </c>
      <c r="G3" s="34" t="s">
        <v>941</v>
      </c>
      <c r="H3" s="37" t="s">
        <v>261</v>
      </c>
      <c r="I3" s="84" t="s">
        <v>739</v>
      </c>
      <c r="J3" s="39" t="s">
        <v>55</v>
      </c>
      <c r="K3" s="41" t="s">
        <v>263</v>
      </c>
    </row>
    <row r="4" customFormat="false" ht="15" hidden="false" customHeight="true" outlineLevel="0" collapsed="false">
      <c r="A4" s="36" t="s">
        <v>932</v>
      </c>
      <c r="B4" s="34" t="s">
        <v>933</v>
      </c>
      <c r="C4" s="34" t="s">
        <v>942</v>
      </c>
      <c r="D4" s="34" t="s">
        <v>761</v>
      </c>
      <c r="E4" s="34" t="s">
        <v>940</v>
      </c>
      <c r="F4" s="34" t="s">
        <v>288</v>
      </c>
      <c r="G4" s="34" t="s">
        <v>943</v>
      </c>
      <c r="H4" s="37" t="s">
        <v>261</v>
      </c>
      <c r="I4" s="38" t="s">
        <v>262</v>
      </c>
      <c r="J4" s="39" t="s">
        <v>23</v>
      </c>
      <c r="K4" s="41" t="s">
        <v>263</v>
      </c>
    </row>
    <row r="5" customFormat="false" ht="15" hidden="false" customHeight="true" outlineLevel="0" collapsed="false">
      <c r="A5" s="36" t="s">
        <v>932</v>
      </c>
      <c r="B5" s="34" t="s">
        <v>944</v>
      </c>
      <c r="C5" s="34" t="s">
        <v>945</v>
      </c>
      <c r="D5" s="34" t="s">
        <v>935</v>
      </c>
      <c r="E5" s="34" t="s">
        <v>936</v>
      </c>
      <c r="F5" s="34" t="s">
        <v>946</v>
      </c>
      <c r="G5" s="34" t="s">
        <v>947</v>
      </c>
      <c r="H5" s="37" t="s">
        <v>261</v>
      </c>
      <c r="I5" s="61" t="s">
        <v>316</v>
      </c>
      <c r="J5" s="39" t="s">
        <v>23</v>
      </c>
      <c r="K5" s="41" t="s">
        <v>263</v>
      </c>
    </row>
    <row r="6" customFormat="false" ht="15" hidden="false" customHeight="true" outlineLevel="0" collapsed="false">
      <c r="A6" s="36" t="s">
        <v>932</v>
      </c>
      <c r="B6" s="34" t="s">
        <v>944</v>
      </c>
      <c r="C6" s="34" t="s">
        <v>948</v>
      </c>
      <c r="D6" s="34" t="s">
        <v>761</v>
      </c>
      <c r="E6" s="34" t="s">
        <v>936</v>
      </c>
      <c r="F6" s="34" t="s">
        <v>288</v>
      </c>
      <c r="G6" s="34" t="s">
        <v>949</v>
      </c>
      <c r="H6" s="37" t="s">
        <v>261</v>
      </c>
      <c r="I6" s="61" t="s">
        <v>316</v>
      </c>
      <c r="J6" s="39" t="s">
        <v>23</v>
      </c>
      <c r="K6" s="41" t="s">
        <v>263</v>
      </c>
    </row>
    <row r="7" customFormat="false" ht="15" hidden="false" customHeight="true" outlineLevel="0" collapsed="false">
      <c r="A7" s="36" t="s">
        <v>932</v>
      </c>
      <c r="B7" s="34" t="s">
        <v>950</v>
      </c>
      <c r="C7" s="34" t="s">
        <v>951</v>
      </c>
      <c r="D7" s="34" t="s">
        <v>935</v>
      </c>
      <c r="E7" s="34" t="s">
        <v>936</v>
      </c>
      <c r="F7" s="34" t="s">
        <v>952</v>
      </c>
      <c r="G7" s="34" t="s">
        <v>953</v>
      </c>
      <c r="H7" s="37" t="s">
        <v>261</v>
      </c>
      <c r="I7" s="61" t="s">
        <v>316</v>
      </c>
      <c r="J7" s="39" t="s">
        <v>23</v>
      </c>
      <c r="K7" s="41" t="s">
        <v>263</v>
      </c>
    </row>
    <row r="8" customFormat="false" ht="15" hidden="false" customHeight="true" outlineLevel="0" collapsed="false">
      <c r="A8" s="35" t="s">
        <v>954</v>
      </c>
      <c r="B8" s="34" t="s">
        <v>955</v>
      </c>
      <c r="C8" s="34" t="s">
        <v>956</v>
      </c>
      <c r="D8" s="34" t="s">
        <v>935</v>
      </c>
      <c r="E8" s="34" t="s">
        <v>936</v>
      </c>
      <c r="F8" s="34" t="s">
        <v>957</v>
      </c>
      <c r="G8" s="34" t="s">
        <v>958</v>
      </c>
      <c r="H8" s="37" t="s">
        <v>261</v>
      </c>
      <c r="I8" s="38" t="s">
        <v>262</v>
      </c>
      <c r="J8" s="39" t="s">
        <v>23</v>
      </c>
      <c r="K8" s="41" t="s">
        <v>263</v>
      </c>
    </row>
    <row r="9" customFormat="false" ht="15" hidden="false" customHeight="true" outlineLevel="0" collapsed="false">
      <c r="A9" s="35" t="s">
        <v>954</v>
      </c>
      <c r="B9" s="34" t="s">
        <v>955</v>
      </c>
      <c r="C9" s="34" t="s">
        <v>959</v>
      </c>
      <c r="D9" s="34" t="s">
        <v>935</v>
      </c>
      <c r="E9" s="34" t="s">
        <v>960</v>
      </c>
      <c r="F9" s="34" t="s">
        <v>961</v>
      </c>
      <c r="G9" s="34" t="s">
        <v>962</v>
      </c>
      <c r="H9" s="37" t="s">
        <v>261</v>
      </c>
      <c r="I9" s="38" t="s">
        <v>262</v>
      </c>
      <c r="J9" s="39" t="s">
        <v>23</v>
      </c>
      <c r="K9" s="41" t="s">
        <v>263</v>
      </c>
    </row>
    <row r="10" customFormat="false" ht="15" hidden="false" customHeight="true" outlineLevel="0" collapsed="false">
      <c r="A10" s="35" t="s">
        <v>954</v>
      </c>
      <c r="B10" s="34" t="s">
        <v>963</v>
      </c>
      <c r="C10" s="34" t="s">
        <v>964</v>
      </c>
      <c r="D10" s="34" t="s">
        <v>761</v>
      </c>
      <c r="E10" s="34" t="s">
        <v>936</v>
      </c>
      <c r="F10" s="34" t="s">
        <v>965</v>
      </c>
      <c r="G10" s="34" t="s">
        <v>966</v>
      </c>
      <c r="H10" s="37" t="s">
        <v>261</v>
      </c>
      <c r="I10" s="61" t="s">
        <v>316</v>
      </c>
      <c r="J10" s="39" t="s">
        <v>23</v>
      </c>
      <c r="K10" s="41" t="s">
        <v>263</v>
      </c>
    </row>
    <row r="11" customFormat="false" ht="15" hidden="false" customHeight="true" outlineLevel="0" collapsed="false">
      <c r="A11" s="35" t="s">
        <v>954</v>
      </c>
      <c r="B11" s="34" t="s">
        <v>967</v>
      </c>
      <c r="C11" s="34" t="s">
        <v>968</v>
      </c>
      <c r="D11" s="34" t="s">
        <v>34</v>
      </c>
      <c r="E11" s="34" t="s">
        <v>936</v>
      </c>
      <c r="F11" s="34" t="s">
        <v>969</v>
      </c>
      <c r="G11" s="34" t="s">
        <v>970</v>
      </c>
      <c r="H11" s="37" t="s">
        <v>261</v>
      </c>
      <c r="I11" s="74" t="s">
        <v>474</v>
      </c>
      <c r="J11" s="39" t="s">
        <v>34</v>
      </c>
      <c r="K11" s="41" t="s">
        <v>263</v>
      </c>
    </row>
    <row r="12" customFormat="false" ht="15" hidden="false" customHeight="true" outlineLevel="0" collapsed="false">
      <c r="A12" s="35" t="s">
        <v>954</v>
      </c>
      <c r="B12" s="34" t="s">
        <v>967</v>
      </c>
      <c r="C12" s="34" t="s">
        <v>971</v>
      </c>
      <c r="D12" s="34" t="s">
        <v>761</v>
      </c>
      <c r="E12" s="34" t="s">
        <v>936</v>
      </c>
      <c r="F12" s="34" t="s">
        <v>972</v>
      </c>
      <c r="G12" s="34" t="s">
        <v>973</v>
      </c>
      <c r="H12" s="37" t="s">
        <v>261</v>
      </c>
      <c r="I12" s="38" t="s">
        <v>262</v>
      </c>
      <c r="J12" s="39" t="s">
        <v>23</v>
      </c>
      <c r="K12" s="41" t="s">
        <v>263</v>
      </c>
    </row>
    <row r="13" customFormat="false" ht="15" hidden="false" customHeight="true" outlineLevel="0" collapsed="false">
      <c r="A13" s="35" t="s">
        <v>954</v>
      </c>
      <c r="B13" s="34" t="s">
        <v>974</v>
      </c>
      <c r="C13" s="34" t="s">
        <v>975</v>
      </c>
      <c r="D13" s="34" t="s">
        <v>761</v>
      </c>
      <c r="E13" s="34" t="s">
        <v>960</v>
      </c>
      <c r="F13" s="34" t="s">
        <v>976</v>
      </c>
      <c r="G13" s="34" t="s">
        <v>977</v>
      </c>
      <c r="H13" s="37" t="s">
        <v>261</v>
      </c>
      <c r="I13" s="38" t="s">
        <v>262</v>
      </c>
      <c r="J13" s="39" t="s">
        <v>23</v>
      </c>
      <c r="K13" s="41" t="s">
        <v>263</v>
      </c>
    </row>
    <row r="14" customFormat="false" ht="15" hidden="false" customHeight="true" outlineLevel="0" collapsed="false">
      <c r="A14" s="51" t="s">
        <v>978</v>
      </c>
      <c r="B14" s="34" t="s">
        <v>979</v>
      </c>
      <c r="C14" s="34" t="s">
        <v>980</v>
      </c>
      <c r="D14" s="34" t="s">
        <v>761</v>
      </c>
      <c r="E14" s="34" t="s">
        <v>940</v>
      </c>
      <c r="F14" s="34" t="s">
        <v>288</v>
      </c>
      <c r="G14" s="34" t="s">
        <v>981</v>
      </c>
      <c r="H14" s="37" t="s">
        <v>261</v>
      </c>
      <c r="I14" s="52" t="s">
        <v>307</v>
      </c>
      <c r="J14" s="39" t="s">
        <v>45</v>
      </c>
      <c r="K14" s="41" t="s">
        <v>263</v>
      </c>
    </row>
    <row r="15" customFormat="false" ht="15" hidden="false" customHeight="true" outlineLevel="0" collapsed="false">
      <c r="A15" s="51" t="s">
        <v>978</v>
      </c>
      <c r="B15" s="34" t="s">
        <v>979</v>
      </c>
      <c r="C15" s="34" t="s">
        <v>982</v>
      </c>
      <c r="D15" s="34" t="s">
        <v>761</v>
      </c>
      <c r="E15" s="34" t="s">
        <v>940</v>
      </c>
      <c r="F15" s="34" t="s">
        <v>288</v>
      </c>
      <c r="G15" s="34" t="s">
        <v>983</v>
      </c>
      <c r="H15" s="37" t="s">
        <v>261</v>
      </c>
      <c r="I15" s="52" t="s">
        <v>307</v>
      </c>
      <c r="J15" s="39" t="s">
        <v>45</v>
      </c>
      <c r="K15" s="41" t="s">
        <v>263</v>
      </c>
    </row>
    <row r="16" customFormat="false" ht="15" hidden="false" customHeight="true" outlineLevel="0" collapsed="false">
      <c r="A16" s="62" t="s">
        <v>978</v>
      </c>
      <c r="B16" s="7" t="s">
        <v>984</v>
      </c>
      <c r="C16" s="7" t="s">
        <v>985</v>
      </c>
      <c r="D16" s="7" t="s">
        <v>761</v>
      </c>
      <c r="E16" s="7" t="s">
        <v>936</v>
      </c>
      <c r="F16" s="7" t="s">
        <v>288</v>
      </c>
      <c r="G16" s="7" t="s">
        <v>986</v>
      </c>
      <c r="H16" s="44" t="s">
        <v>261</v>
      </c>
      <c r="I16" s="63" t="s">
        <v>307</v>
      </c>
      <c r="J16" s="8" t="s">
        <v>45</v>
      </c>
      <c r="K16" s="46" t="s">
        <v>263</v>
      </c>
    </row>
    <row r="17" customFormat="false" ht="15" hidden="false" customHeight="true" outlineLevel="0" collapsed="false">
      <c r="A17" s="51" t="s">
        <v>978</v>
      </c>
      <c r="B17" s="34" t="s">
        <v>984</v>
      </c>
      <c r="C17" s="34" t="s">
        <v>987</v>
      </c>
      <c r="D17" s="34" t="s">
        <v>761</v>
      </c>
      <c r="E17" s="34" t="s">
        <v>940</v>
      </c>
      <c r="F17" s="34" t="s">
        <v>288</v>
      </c>
      <c r="G17" s="34" t="s">
        <v>988</v>
      </c>
      <c r="H17" s="37" t="s">
        <v>261</v>
      </c>
      <c r="I17" s="52" t="s">
        <v>307</v>
      </c>
      <c r="J17" s="39" t="s">
        <v>45</v>
      </c>
      <c r="K17" s="41" t="s">
        <v>263</v>
      </c>
    </row>
    <row r="18" customFormat="false" ht="15" hidden="false" customHeight="true" outlineLevel="0" collapsed="false">
      <c r="A18" s="51" t="s">
        <v>978</v>
      </c>
      <c r="B18" s="34" t="s">
        <v>989</v>
      </c>
      <c r="C18" s="34" t="s">
        <v>990</v>
      </c>
      <c r="D18" s="34" t="s">
        <v>34</v>
      </c>
      <c r="E18" s="34" t="s">
        <v>936</v>
      </c>
      <c r="F18" s="34" t="s">
        <v>991</v>
      </c>
      <c r="G18" s="34" t="s">
        <v>992</v>
      </c>
      <c r="H18" s="37" t="s">
        <v>261</v>
      </c>
      <c r="I18" s="52" t="s">
        <v>307</v>
      </c>
      <c r="J18" s="39" t="s">
        <v>45</v>
      </c>
      <c r="K18" s="41" t="s">
        <v>263</v>
      </c>
    </row>
    <row r="19" customFormat="false" ht="15" hidden="false" customHeight="true" outlineLevel="0" collapsed="false">
      <c r="A19" s="51" t="s">
        <v>978</v>
      </c>
      <c r="B19" s="34" t="s">
        <v>989</v>
      </c>
      <c r="C19" s="34" t="s">
        <v>993</v>
      </c>
      <c r="D19" s="34" t="s">
        <v>935</v>
      </c>
      <c r="E19" s="34" t="s">
        <v>936</v>
      </c>
      <c r="F19" s="34" t="s">
        <v>994</v>
      </c>
      <c r="G19" s="34" t="s">
        <v>995</v>
      </c>
      <c r="H19" s="37" t="s">
        <v>261</v>
      </c>
      <c r="I19" s="69" t="s">
        <v>996</v>
      </c>
      <c r="J19" s="39" t="s">
        <v>997</v>
      </c>
      <c r="K19" s="41" t="s">
        <v>263</v>
      </c>
    </row>
    <row r="20" customFormat="false" ht="15" hidden="false" customHeight="true" outlineLevel="0" collapsed="false">
      <c r="A20" s="87" t="s">
        <v>998</v>
      </c>
      <c r="B20" s="34" t="s">
        <v>999</v>
      </c>
      <c r="C20" s="34" t="s">
        <v>1000</v>
      </c>
      <c r="D20" s="34" t="s">
        <v>761</v>
      </c>
      <c r="E20" s="34" t="s">
        <v>936</v>
      </c>
      <c r="F20" s="34" t="s">
        <v>1001</v>
      </c>
      <c r="G20" s="34" t="s">
        <v>1002</v>
      </c>
      <c r="H20" s="37" t="s">
        <v>261</v>
      </c>
      <c r="I20" s="38" t="s">
        <v>262</v>
      </c>
      <c r="J20" s="39" t="s">
        <v>23</v>
      </c>
      <c r="K20" s="41" t="s">
        <v>263</v>
      </c>
    </row>
    <row r="21" customFormat="false" ht="15" hidden="false" customHeight="true" outlineLevel="0" collapsed="false">
      <c r="A21" s="88" t="s">
        <v>998</v>
      </c>
      <c r="B21" s="89" t="s">
        <v>999</v>
      </c>
      <c r="C21" s="89" t="s">
        <v>1003</v>
      </c>
      <c r="D21" s="89" t="s">
        <v>761</v>
      </c>
      <c r="E21" s="89" t="s">
        <v>936</v>
      </c>
      <c r="F21" s="89" t="s">
        <v>1004</v>
      </c>
      <c r="G21" s="89" t="s">
        <v>1005</v>
      </c>
      <c r="H21" s="90" t="s">
        <v>261</v>
      </c>
      <c r="I21" s="91" t="s">
        <v>372</v>
      </c>
      <c r="J21" s="92" t="s">
        <v>45</v>
      </c>
      <c r="K21" s="58" t="s">
        <v>263</v>
      </c>
    </row>
    <row r="22" customFormat="false" ht="15" hidden="false" customHeight="true" outlineLevel="0" collapsed="false">
      <c r="A22" s="87" t="s">
        <v>998</v>
      </c>
      <c r="B22" s="34" t="s">
        <v>1006</v>
      </c>
      <c r="C22" s="34" t="s">
        <v>1007</v>
      </c>
      <c r="D22" s="34" t="s">
        <v>761</v>
      </c>
      <c r="E22" s="34" t="s">
        <v>936</v>
      </c>
      <c r="F22" s="34" t="s">
        <v>1008</v>
      </c>
      <c r="G22" s="34" t="s">
        <v>1009</v>
      </c>
      <c r="H22" s="37" t="s">
        <v>261</v>
      </c>
      <c r="I22" s="61" t="s">
        <v>316</v>
      </c>
      <c r="J22" s="39" t="s">
        <v>23</v>
      </c>
      <c r="K22" s="41" t="s">
        <v>263</v>
      </c>
    </row>
    <row r="23" customFormat="false" ht="15" hidden="false" customHeight="true" outlineLevel="0" collapsed="false">
      <c r="A23" s="93" t="s">
        <v>998</v>
      </c>
      <c r="B23" s="11" t="s">
        <v>1006</v>
      </c>
      <c r="C23" s="11" t="s">
        <v>1010</v>
      </c>
      <c r="D23" s="11" t="s">
        <v>935</v>
      </c>
      <c r="E23" s="11" t="s">
        <v>936</v>
      </c>
      <c r="F23" s="11" t="s">
        <v>1011</v>
      </c>
      <c r="G23" s="11" t="s">
        <v>1012</v>
      </c>
      <c r="H23" s="44" t="s">
        <v>261</v>
      </c>
      <c r="I23" s="75" t="s">
        <v>474</v>
      </c>
      <c r="J23" s="12" t="s">
        <v>34</v>
      </c>
      <c r="K23" s="50" t="s">
        <v>263</v>
      </c>
    </row>
    <row r="24" customFormat="false" ht="15" hidden="false" customHeight="true" outlineLevel="0" collapsed="false">
      <c r="A24" s="94" t="s">
        <v>998</v>
      </c>
      <c r="B24" s="7" t="s">
        <v>1013</v>
      </c>
      <c r="C24" s="7" t="s">
        <v>1014</v>
      </c>
      <c r="D24" s="7" t="s">
        <v>761</v>
      </c>
      <c r="E24" s="7" t="s">
        <v>936</v>
      </c>
      <c r="F24" s="7" t="s">
        <v>1015</v>
      </c>
      <c r="G24" s="7" t="s">
        <v>1016</v>
      </c>
      <c r="H24" s="44" t="s">
        <v>261</v>
      </c>
      <c r="I24" s="45" t="s">
        <v>262</v>
      </c>
      <c r="J24" s="8" t="s">
        <v>23</v>
      </c>
      <c r="K24" s="46" t="s">
        <v>263</v>
      </c>
    </row>
    <row r="25" customFormat="false" ht="15" hidden="false" customHeight="true" outlineLevel="0" collapsed="false">
      <c r="A25" s="95" t="s">
        <v>1017</v>
      </c>
      <c r="B25" s="34" t="s">
        <v>1018</v>
      </c>
      <c r="C25" s="34" t="s">
        <v>1019</v>
      </c>
      <c r="D25" s="34" t="s">
        <v>935</v>
      </c>
      <c r="E25" s="34" t="s">
        <v>936</v>
      </c>
      <c r="F25" s="34" t="s">
        <v>1004</v>
      </c>
      <c r="G25" s="34" t="s">
        <v>1020</v>
      </c>
      <c r="H25" s="37" t="s">
        <v>261</v>
      </c>
      <c r="I25" s="69" t="s">
        <v>372</v>
      </c>
      <c r="J25" s="39" t="s">
        <v>45</v>
      </c>
      <c r="K25" s="41" t="s">
        <v>263</v>
      </c>
    </row>
    <row r="26" customFormat="false" ht="15" hidden="false" customHeight="true" outlineLevel="0" collapsed="false">
      <c r="A26" s="95" t="s">
        <v>1017</v>
      </c>
      <c r="B26" s="34" t="s">
        <v>1018</v>
      </c>
      <c r="C26" s="34" t="s">
        <v>1021</v>
      </c>
      <c r="D26" s="34" t="s">
        <v>935</v>
      </c>
      <c r="E26" s="34" t="s">
        <v>936</v>
      </c>
      <c r="F26" s="34" t="s">
        <v>1022</v>
      </c>
      <c r="G26" s="34" t="s">
        <v>1023</v>
      </c>
      <c r="H26" s="37" t="s">
        <v>261</v>
      </c>
      <c r="I26" s="69" t="s">
        <v>372</v>
      </c>
      <c r="J26" s="39" t="s">
        <v>45</v>
      </c>
      <c r="K26" s="41" t="s">
        <v>263</v>
      </c>
    </row>
    <row r="27" customFormat="false" ht="15" hidden="false" customHeight="true" outlineLevel="0" collapsed="false">
      <c r="A27" s="95" t="s">
        <v>1017</v>
      </c>
      <c r="B27" s="34" t="s">
        <v>1024</v>
      </c>
      <c r="C27" s="34" t="s">
        <v>1025</v>
      </c>
      <c r="D27" s="34" t="s">
        <v>761</v>
      </c>
      <c r="E27" s="34" t="s">
        <v>940</v>
      </c>
      <c r="F27" s="34" t="s">
        <v>288</v>
      </c>
      <c r="G27" s="34" t="s">
        <v>1026</v>
      </c>
      <c r="H27" s="37" t="s">
        <v>261</v>
      </c>
      <c r="I27" s="47" t="s">
        <v>280</v>
      </c>
      <c r="J27" s="39" t="s">
        <v>17</v>
      </c>
      <c r="K27" s="41" t="s">
        <v>263</v>
      </c>
    </row>
    <row r="28" customFormat="false" ht="15" hidden="false" customHeight="true" outlineLevel="0" collapsed="false">
      <c r="A28" s="95" t="s">
        <v>1017</v>
      </c>
      <c r="B28" s="34" t="s">
        <v>1024</v>
      </c>
      <c r="C28" s="34" t="s">
        <v>1027</v>
      </c>
      <c r="D28" s="34" t="s">
        <v>935</v>
      </c>
      <c r="E28" s="34" t="s">
        <v>936</v>
      </c>
      <c r="F28" s="34" t="s">
        <v>1028</v>
      </c>
      <c r="G28" s="34" t="s">
        <v>1029</v>
      </c>
      <c r="H28" s="37" t="s">
        <v>261</v>
      </c>
      <c r="I28" s="47" t="s">
        <v>280</v>
      </c>
      <c r="J28" s="39" t="s">
        <v>17</v>
      </c>
      <c r="K28" s="41" t="s">
        <v>263</v>
      </c>
    </row>
    <row r="29" customFormat="false" ht="15" hidden="false" customHeight="true" outlineLevel="0" collapsed="false">
      <c r="A29" s="95" t="s">
        <v>1017</v>
      </c>
      <c r="B29" s="34" t="s">
        <v>1030</v>
      </c>
      <c r="C29" s="34" t="s">
        <v>1031</v>
      </c>
      <c r="D29" s="34" t="s">
        <v>34</v>
      </c>
      <c r="E29" s="34" t="s">
        <v>936</v>
      </c>
      <c r="F29" s="34" t="s">
        <v>1032</v>
      </c>
      <c r="G29" s="34" t="s">
        <v>1033</v>
      </c>
      <c r="H29" s="37" t="s">
        <v>261</v>
      </c>
      <c r="I29" s="73" t="s">
        <v>414</v>
      </c>
      <c r="J29" s="39" t="s">
        <v>34</v>
      </c>
      <c r="K29" s="41" t="s">
        <v>263</v>
      </c>
    </row>
    <row r="30" customFormat="false" ht="15" hidden="false" customHeight="true" outlineLevel="0" collapsed="false">
      <c r="A30" s="96" t="s">
        <v>1017</v>
      </c>
      <c r="B30" s="7" t="s">
        <v>1030</v>
      </c>
      <c r="C30" s="7" t="s">
        <v>1034</v>
      </c>
      <c r="D30" s="7" t="s">
        <v>935</v>
      </c>
      <c r="E30" s="7" t="s">
        <v>936</v>
      </c>
      <c r="F30" s="7" t="s">
        <v>1035</v>
      </c>
      <c r="G30" s="7" t="s">
        <v>1036</v>
      </c>
      <c r="H30" s="44" t="s">
        <v>261</v>
      </c>
      <c r="I30" s="67" t="s">
        <v>372</v>
      </c>
      <c r="J30" s="8" t="s">
        <v>45</v>
      </c>
      <c r="K30" s="46" t="s">
        <v>263</v>
      </c>
    </row>
    <row r="31" customFormat="false" ht="15" hidden="false" customHeight="true" outlineLevel="0" collapsed="false">
      <c r="A31" s="97" t="s">
        <v>1037</v>
      </c>
      <c r="B31" s="11" t="s">
        <v>1038</v>
      </c>
      <c r="C31" s="11" t="s">
        <v>1039</v>
      </c>
      <c r="D31" s="11" t="s">
        <v>935</v>
      </c>
      <c r="E31" s="11" t="s">
        <v>936</v>
      </c>
      <c r="F31" s="11" t="s">
        <v>607</v>
      </c>
      <c r="G31" s="11" t="s">
        <v>1040</v>
      </c>
      <c r="H31" s="44" t="s">
        <v>261</v>
      </c>
      <c r="I31" s="65" t="s">
        <v>307</v>
      </c>
      <c r="J31" s="12" t="s">
        <v>45</v>
      </c>
      <c r="K31" s="50" t="s">
        <v>263</v>
      </c>
    </row>
    <row r="32" customFormat="false" ht="15" hidden="false" customHeight="true" outlineLevel="0" collapsed="false">
      <c r="A32" s="98" t="s">
        <v>1037</v>
      </c>
      <c r="B32" s="7" t="s">
        <v>1038</v>
      </c>
      <c r="C32" s="7" t="s">
        <v>1041</v>
      </c>
      <c r="D32" s="7" t="s">
        <v>935</v>
      </c>
      <c r="E32" s="7" t="s">
        <v>940</v>
      </c>
      <c r="F32" s="7" t="s">
        <v>288</v>
      </c>
      <c r="G32" s="7" t="s">
        <v>1042</v>
      </c>
      <c r="H32" s="44" t="s">
        <v>261</v>
      </c>
      <c r="I32" s="45" t="s">
        <v>262</v>
      </c>
      <c r="J32" s="8" t="s">
        <v>23</v>
      </c>
      <c r="K32" s="46" t="s">
        <v>263</v>
      </c>
    </row>
    <row r="33" customFormat="false" ht="15" hidden="false" customHeight="true" outlineLevel="0" collapsed="false">
      <c r="A33" s="97" t="s">
        <v>1037</v>
      </c>
      <c r="B33" s="11" t="s">
        <v>1043</v>
      </c>
      <c r="C33" s="11" t="s">
        <v>1044</v>
      </c>
      <c r="D33" s="11" t="s">
        <v>761</v>
      </c>
      <c r="E33" s="11" t="s">
        <v>936</v>
      </c>
      <c r="F33" s="11" t="s">
        <v>1045</v>
      </c>
      <c r="G33" s="11" t="s">
        <v>1046</v>
      </c>
      <c r="H33" s="44" t="s">
        <v>446</v>
      </c>
      <c r="I33" s="68" t="s">
        <v>372</v>
      </c>
      <c r="J33" s="12" t="s">
        <v>45</v>
      </c>
      <c r="K33" s="50" t="s">
        <v>397</v>
      </c>
    </row>
    <row r="34" customFormat="false" ht="15" hidden="false" customHeight="true" outlineLevel="0" collapsed="false">
      <c r="A34" s="98" t="s">
        <v>1037</v>
      </c>
      <c r="B34" s="7" t="s">
        <v>1043</v>
      </c>
      <c r="C34" s="7" t="s">
        <v>1047</v>
      </c>
      <c r="D34" s="7" t="s">
        <v>34</v>
      </c>
      <c r="E34" s="7" t="s">
        <v>936</v>
      </c>
      <c r="F34" s="7" t="s">
        <v>1048</v>
      </c>
      <c r="G34" s="7" t="s">
        <v>1049</v>
      </c>
      <c r="H34" s="44" t="s">
        <v>261</v>
      </c>
      <c r="I34" s="76" t="s">
        <v>474</v>
      </c>
      <c r="J34" s="8" t="s">
        <v>34</v>
      </c>
      <c r="K34" s="46" t="s">
        <v>263</v>
      </c>
    </row>
    <row r="35" customFormat="false" ht="15" hidden="false" customHeight="true" outlineLevel="0" collapsed="false">
      <c r="A35" s="97" t="s">
        <v>1037</v>
      </c>
      <c r="B35" s="11" t="s">
        <v>1050</v>
      </c>
      <c r="C35" s="11" t="s">
        <v>1051</v>
      </c>
      <c r="D35" s="11" t="s">
        <v>761</v>
      </c>
      <c r="E35" s="11" t="s">
        <v>960</v>
      </c>
      <c r="F35" s="11" t="s">
        <v>1035</v>
      </c>
      <c r="G35" s="11" t="s">
        <v>1052</v>
      </c>
      <c r="H35" s="44" t="s">
        <v>261</v>
      </c>
      <c r="I35" s="70" t="s">
        <v>262</v>
      </c>
      <c r="J35" s="12" t="s">
        <v>23</v>
      </c>
      <c r="K35" s="50" t="s">
        <v>263</v>
      </c>
    </row>
    <row r="36" customFormat="false" ht="15" hidden="false" customHeight="true" outlineLevel="0" collapsed="false">
      <c r="A36" s="98" t="s">
        <v>1037</v>
      </c>
      <c r="B36" s="7" t="s">
        <v>1050</v>
      </c>
      <c r="C36" s="7" t="s">
        <v>1053</v>
      </c>
      <c r="D36" s="7" t="s">
        <v>11</v>
      </c>
      <c r="E36" s="7" t="s">
        <v>936</v>
      </c>
      <c r="F36" s="7" t="s">
        <v>288</v>
      </c>
      <c r="G36" s="7" t="s">
        <v>1054</v>
      </c>
      <c r="H36" s="44" t="s">
        <v>261</v>
      </c>
      <c r="I36" s="82" t="s">
        <v>739</v>
      </c>
      <c r="J36" s="8" t="s">
        <v>55</v>
      </c>
      <c r="K36" s="46" t="s">
        <v>263</v>
      </c>
    </row>
    <row r="38" customFormat="false" ht="15" hidden="false" customHeight="true" outlineLevel="0" collapsed="false">
      <c r="A38" s="72" t="s">
        <v>440</v>
      </c>
    </row>
    <row r="39" customFormat="false" ht="15" hidden="false" customHeight="true" outlineLevel="0" collapsed="false">
      <c r="A39" s="1" t="s">
        <v>1055</v>
      </c>
      <c r="B39" s="1" t="s">
        <v>1056</v>
      </c>
      <c r="C39" s="1" t="s">
        <v>1057</v>
      </c>
      <c r="D39" s="1" t="s">
        <v>939</v>
      </c>
      <c r="E39" s="1" t="s">
        <v>936</v>
      </c>
      <c r="F39" s="1" t="s">
        <v>1058</v>
      </c>
      <c r="G39" s="1" t="s">
        <v>1059</v>
      </c>
      <c r="H39" s="1" t="s">
        <v>446</v>
      </c>
    </row>
    <row r="40" customFormat="false" ht="15" hidden="false" customHeight="true" outlineLevel="0" collapsed="false">
      <c r="A40" s="1" t="s">
        <v>1055</v>
      </c>
      <c r="B40" s="1" t="s">
        <v>1056</v>
      </c>
      <c r="C40" s="1" t="s">
        <v>1060</v>
      </c>
      <c r="D40" s="1" t="s">
        <v>935</v>
      </c>
      <c r="E40" s="1" t="s">
        <v>936</v>
      </c>
      <c r="F40" s="1" t="s">
        <v>1061</v>
      </c>
      <c r="G40" s="1" t="s">
        <v>1062</v>
      </c>
      <c r="H40" s="1" t="s">
        <v>446</v>
      </c>
    </row>
    <row r="41" customFormat="false" ht="15" hidden="false" customHeight="true" outlineLevel="0" collapsed="false">
      <c r="A41" s="1" t="s">
        <v>1055</v>
      </c>
      <c r="B41" s="1" t="s">
        <v>1056</v>
      </c>
      <c r="C41" s="1" t="s">
        <v>1063</v>
      </c>
      <c r="D41" s="1" t="s">
        <v>34</v>
      </c>
      <c r="E41" s="1" t="s">
        <v>940</v>
      </c>
      <c r="F41" s="1" t="s">
        <v>1064</v>
      </c>
      <c r="G41" s="1" t="s">
        <v>1065</v>
      </c>
      <c r="H41" s="1" t="s">
        <v>446</v>
      </c>
    </row>
    <row r="42" customFormat="false" ht="15" hidden="false" customHeight="true" outlineLevel="0" collapsed="false">
      <c r="A42" s="1" t="s">
        <v>1055</v>
      </c>
      <c r="B42" s="1" t="s">
        <v>1056</v>
      </c>
      <c r="C42" s="1" t="s">
        <v>1066</v>
      </c>
      <c r="D42" s="1" t="s">
        <v>11</v>
      </c>
      <c r="E42" s="1" t="s">
        <v>940</v>
      </c>
      <c r="F42" s="1" t="s">
        <v>288</v>
      </c>
      <c r="G42" s="1" t="s">
        <v>1067</v>
      </c>
      <c r="H42" s="1" t="s">
        <v>446</v>
      </c>
    </row>
    <row r="43" customFormat="false" ht="15" hidden="false" customHeight="true" outlineLevel="0" collapsed="false">
      <c r="A43" s="1" t="s">
        <v>1055</v>
      </c>
      <c r="B43" s="1" t="s">
        <v>1056</v>
      </c>
      <c r="C43" s="1" t="s">
        <v>1044</v>
      </c>
      <c r="D43" s="1" t="s">
        <v>761</v>
      </c>
      <c r="E43" s="1" t="s">
        <v>936</v>
      </c>
      <c r="F43" s="1" t="s">
        <v>1045</v>
      </c>
      <c r="G43" s="1" t="s">
        <v>1046</v>
      </c>
      <c r="H43" s="1" t="s">
        <v>446</v>
      </c>
    </row>
    <row r="44" customFormat="false" ht="15" hidden="false" customHeight="true" outlineLevel="0" collapsed="false">
      <c r="A44" s="1" t="s">
        <v>1055</v>
      </c>
      <c r="B44" s="1" t="s">
        <v>1056</v>
      </c>
      <c r="C44" s="1" t="s">
        <v>1068</v>
      </c>
      <c r="D44" s="1" t="s">
        <v>761</v>
      </c>
      <c r="E44" s="1" t="s">
        <v>940</v>
      </c>
      <c r="F44" s="1" t="s">
        <v>1069</v>
      </c>
      <c r="G44" s="1" t="s">
        <v>1070</v>
      </c>
      <c r="H44" s="1" t="s">
        <v>446</v>
      </c>
    </row>
    <row r="45" customFormat="false" ht="15" hidden="false" customHeight="true" outlineLevel="0" collapsed="false">
      <c r="A45" s="1" t="s">
        <v>1055</v>
      </c>
      <c r="B45" s="1" t="s">
        <v>1056</v>
      </c>
      <c r="C45" s="1" t="s">
        <v>1071</v>
      </c>
      <c r="D45" s="1" t="s">
        <v>909</v>
      </c>
      <c r="E45" s="1" t="s">
        <v>940</v>
      </c>
      <c r="F45" s="1" t="s">
        <v>1072</v>
      </c>
      <c r="G45" s="1" t="s">
        <v>1073</v>
      </c>
      <c r="H45" s="1" t="s">
        <v>446</v>
      </c>
    </row>
    <row r="47" customFormat="false" ht="15" hidden="false" customHeight="true" outlineLevel="0" collapsed="false">
      <c r="A47" s="79" t="s">
        <v>1074</v>
      </c>
      <c r="B47" s="80"/>
      <c r="C47" s="80"/>
      <c r="D47" s="80"/>
      <c r="E47" s="80"/>
    </row>
    <row r="48" customFormat="false" ht="15" hidden="false" customHeight="true" outlineLevel="0" collapsed="false">
      <c r="A48" s="81" t="s">
        <v>1075</v>
      </c>
      <c r="B48" s="81" t="s">
        <v>1076</v>
      </c>
      <c r="C48" s="81" t="s">
        <v>1077</v>
      </c>
      <c r="D48" s="81" t="s">
        <v>1078</v>
      </c>
      <c r="E48" s="81" t="s">
        <v>1079</v>
      </c>
    </row>
    <row r="49" customFormat="false" ht="15" hidden="false" customHeight="true" outlineLevel="0" collapsed="false">
      <c r="A49" s="81" t="s">
        <v>1080</v>
      </c>
      <c r="B49" s="81" t="s">
        <v>1081</v>
      </c>
      <c r="C49" s="81" t="s">
        <v>1077</v>
      </c>
      <c r="D49" s="81" t="s">
        <v>630</v>
      </c>
      <c r="E49" s="81" t="s">
        <v>1082</v>
      </c>
    </row>
    <row r="50" customFormat="false" ht="15" hidden="false" customHeight="true" outlineLevel="0" collapsed="false">
      <c r="A50" s="81" t="s">
        <v>1083</v>
      </c>
      <c r="B50" s="81" t="s">
        <v>1084</v>
      </c>
      <c r="C50" s="81" t="s">
        <v>1077</v>
      </c>
      <c r="D50" s="81" t="s">
        <v>630</v>
      </c>
      <c r="E50" s="81" t="s">
        <v>1082</v>
      </c>
    </row>
    <row r="51" customFormat="false" ht="15" hidden="false" customHeight="true" outlineLevel="0" collapsed="false">
      <c r="A51" s="81" t="s">
        <v>1085</v>
      </c>
      <c r="B51" s="81" t="s">
        <v>1086</v>
      </c>
      <c r="C51" s="81" t="s">
        <v>1077</v>
      </c>
      <c r="D51" s="81" t="s">
        <v>630</v>
      </c>
      <c r="E51" s="81" t="s">
        <v>1082</v>
      </c>
    </row>
    <row r="52" customFormat="false" ht="15" hidden="false" customHeight="true" outlineLevel="0" collapsed="false">
      <c r="A52" s="81" t="s">
        <v>1087</v>
      </c>
      <c r="B52" s="81" t="s">
        <v>1088</v>
      </c>
      <c r="C52" s="81" t="s">
        <v>1077</v>
      </c>
      <c r="D52" s="81" t="s">
        <v>630</v>
      </c>
      <c r="E52" s="81" t="s">
        <v>1082</v>
      </c>
    </row>
    <row r="53" customFormat="false" ht="15" hidden="false" customHeight="true" outlineLevel="0" collapsed="false">
      <c r="A53" s="81" t="s">
        <v>1089</v>
      </c>
      <c r="B53" s="81" t="s">
        <v>1090</v>
      </c>
      <c r="C53" s="81" t="s">
        <v>1077</v>
      </c>
      <c r="D53" s="81" t="s">
        <v>630</v>
      </c>
      <c r="E53" s="81" t="s">
        <v>1091</v>
      </c>
    </row>
    <row r="54" customFormat="false" ht="15" hidden="false" customHeight="true" outlineLevel="0" collapsed="false">
      <c r="A54" s="81" t="s">
        <v>1092</v>
      </c>
      <c r="B54" s="81" t="s">
        <v>1093</v>
      </c>
      <c r="C54" s="81" t="s">
        <v>1077</v>
      </c>
      <c r="D54" s="81" t="s">
        <v>630</v>
      </c>
      <c r="E54" s="81" t="s">
        <v>1091</v>
      </c>
    </row>
    <row r="55" customFormat="false" ht="15" hidden="false" customHeight="true" outlineLevel="0" collapsed="false">
      <c r="A55" s="81" t="s">
        <v>1094</v>
      </c>
      <c r="B55" s="81" t="s">
        <v>1095</v>
      </c>
      <c r="C55" s="81" t="s">
        <v>1077</v>
      </c>
      <c r="D55" s="81" t="s">
        <v>630</v>
      </c>
      <c r="E55" s="81" t="s">
        <v>1091</v>
      </c>
    </row>
    <row r="58" customFormat="false" ht="15" hidden="false" customHeight="true" outlineLevel="0" collapsed="false">
      <c r="A58" s="1" t="s">
        <v>1096</v>
      </c>
    </row>
    <row r="60" customFormat="false" ht="15" hidden="false" customHeight="true" outlineLevel="0" collapsed="false">
      <c r="A60" s="1" t="s">
        <v>1097</v>
      </c>
    </row>
    <row r="61" customFormat="false" ht="15" hidden="false" customHeight="true" outlineLevel="0" collapsed="false">
      <c r="A61" s="1" t="s">
        <v>1098</v>
      </c>
      <c r="B61" s="1" t="s">
        <v>1099</v>
      </c>
      <c r="C61" s="1" t="s">
        <v>1100</v>
      </c>
      <c r="D61" s="1" t="s">
        <v>761</v>
      </c>
      <c r="E61" s="1" t="s">
        <v>288</v>
      </c>
      <c r="F61" s="1" t="s">
        <v>288</v>
      </c>
      <c r="G61" s="1" t="s">
        <v>1101</v>
      </c>
      <c r="H61" s="1" t="s">
        <v>446</v>
      </c>
      <c r="I61" s="1" t="s">
        <v>280</v>
      </c>
      <c r="J61" s="1" t="s">
        <v>17</v>
      </c>
      <c r="K61" s="1" t="s">
        <v>159</v>
      </c>
    </row>
    <row r="62" customFormat="false" ht="15" hidden="false" customHeight="true" outlineLevel="0" collapsed="false">
      <c r="A62" s="1" t="s">
        <v>1098</v>
      </c>
      <c r="B62" s="1" t="s">
        <v>1099</v>
      </c>
      <c r="C62" s="1" t="s">
        <v>1102</v>
      </c>
      <c r="D62" s="1" t="s">
        <v>34</v>
      </c>
      <c r="E62" s="1" t="s">
        <v>288</v>
      </c>
      <c r="F62" s="1" t="s">
        <v>288</v>
      </c>
      <c r="G62" s="1" t="s">
        <v>1103</v>
      </c>
      <c r="H62" s="1" t="s">
        <v>446</v>
      </c>
      <c r="I62" s="1" t="s">
        <v>474</v>
      </c>
      <c r="J62" s="1" t="s">
        <v>34</v>
      </c>
      <c r="K62" s="1" t="s">
        <v>159</v>
      </c>
    </row>
    <row r="63" customFormat="false" ht="15" hidden="false" customHeight="true" outlineLevel="0" collapsed="false">
      <c r="A63" s="1" t="s">
        <v>1098</v>
      </c>
      <c r="B63" s="1" t="s">
        <v>1099</v>
      </c>
      <c r="C63" s="1" t="s">
        <v>1104</v>
      </c>
      <c r="D63" s="1" t="s">
        <v>34</v>
      </c>
      <c r="E63" s="1" t="s">
        <v>288</v>
      </c>
      <c r="F63" s="1" t="s">
        <v>288</v>
      </c>
      <c r="G63" s="1" t="s">
        <v>1105</v>
      </c>
      <c r="H63" s="1" t="s">
        <v>446</v>
      </c>
      <c r="I63" s="1" t="s">
        <v>414</v>
      </c>
      <c r="J63" s="1" t="s">
        <v>34</v>
      </c>
      <c r="K63" s="1" t="s">
        <v>159</v>
      </c>
    </row>
    <row r="64" customFormat="false" ht="15" hidden="false" customHeight="true" outlineLevel="0" collapsed="false">
      <c r="A64" s="1" t="s">
        <v>1098</v>
      </c>
      <c r="B64" s="1" t="s">
        <v>1099</v>
      </c>
      <c r="C64" s="1" t="s">
        <v>1106</v>
      </c>
      <c r="D64" s="1" t="s">
        <v>761</v>
      </c>
      <c r="E64" s="1" t="s">
        <v>288</v>
      </c>
      <c r="F64" s="1" t="s">
        <v>288</v>
      </c>
      <c r="G64" s="1" t="s">
        <v>1107</v>
      </c>
      <c r="H64" s="1" t="s">
        <v>446</v>
      </c>
      <c r="I64" s="1" t="s">
        <v>372</v>
      </c>
      <c r="J64" s="1" t="s">
        <v>45</v>
      </c>
      <c r="K64" s="1" t="s">
        <v>159</v>
      </c>
    </row>
    <row r="65" customFormat="false" ht="15" hidden="false" customHeight="true" outlineLevel="0" collapsed="false">
      <c r="A65" s="1" t="s">
        <v>1098</v>
      </c>
      <c r="B65" s="1" t="s">
        <v>1099</v>
      </c>
      <c r="C65" s="1" t="s">
        <v>1108</v>
      </c>
      <c r="D65" s="1" t="s">
        <v>761</v>
      </c>
      <c r="E65" s="1" t="s">
        <v>288</v>
      </c>
      <c r="F65" s="1" t="s">
        <v>288</v>
      </c>
      <c r="G65" s="1" t="s">
        <v>1107</v>
      </c>
      <c r="H65" s="1" t="s">
        <v>446</v>
      </c>
      <c r="I65" s="1" t="s">
        <v>307</v>
      </c>
      <c r="J65" s="1" t="s">
        <v>45</v>
      </c>
      <c r="K65" s="1" t="s">
        <v>159</v>
      </c>
    </row>
    <row r="66" customFormat="false" ht="15" hidden="false" customHeight="true" outlineLevel="0" collapsed="false">
      <c r="A66" s="1" t="s">
        <v>1098</v>
      </c>
      <c r="B66" s="1" t="s">
        <v>1099</v>
      </c>
      <c r="C66" s="1" t="s">
        <v>1109</v>
      </c>
      <c r="D66" s="1" t="s">
        <v>34</v>
      </c>
      <c r="E66" s="1" t="s">
        <v>288</v>
      </c>
      <c r="F66" s="1" t="s">
        <v>288</v>
      </c>
      <c r="G66" s="1" t="s">
        <v>1110</v>
      </c>
      <c r="H66" s="1" t="s">
        <v>446</v>
      </c>
      <c r="I66" s="1" t="s">
        <v>316</v>
      </c>
      <c r="J66" s="1" t="s">
        <v>23</v>
      </c>
      <c r="K66" s="1" t="s">
        <v>159</v>
      </c>
    </row>
    <row r="67" customFormat="false" ht="15" hidden="false" customHeight="true" outlineLevel="0" collapsed="false">
      <c r="A67" s="1" t="s">
        <v>1098</v>
      </c>
      <c r="B67" s="1" t="s">
        <v>1099</v>
      </c>
      <c r="C67" s="1" t="s">
        <v>1111</v>
      </c>
      <c r="D67" s="1" t="s">
        <v>761</v>
      </c>
      <c r="E67" s="1" t="s">
        <v>288</v>
      </c>
      <c r="F67" s="1" t="s">
        <v>288</v>
      </c>
      <c r="G67" s="1" t="s">
        <v>1107</v>
      </c>
      <c r="H67" s="1" t="s">
        <v>446</v>
      </c>
      <c r="I67" s="1" t="s">
        <v>262</v>
      </c>
      <c r="J67" s="1" t="s">
        <v>23</v>
      </c>
      <c r="K67" s="1" t="s">
        <v>159</v>
      </c>
    </row>
    <row r="68" customFormat="false" ht="15" hidden="false" customHeight="true" outlineLevel="0" collapsed="false">
      <c r="A68" s="1" t="s">
        <v>1098</v>
      </c>
      <c r="B68" s="1" t="s">
        <v>1099</v>
      </c>
      <c r="C68" s="1" t="s">
        <v>1112</v>
      </c>
      <c r="D68" s="1" t="s">
        <v>909</v>
      </c>
      <c r="E68" s="1" t="s">
        <v>288</v>
      </c>
      <c r="F68" s="1" t="s">
        <v>288</v>
      </c>
      <c r="G68" s="1" t="s">
        <v>1113</v>
      </c>
      <c r="H68" s="1" t="s">
        <v>446</v>
      </c>
      <c r="I68" s="1" t="s">
        <v>811</v>
      </c>
      <c r="J68" s="1" t="s">
        <v>909</v>
      </c>
      <c r="K68" s="1" t="s">
        <v>159</v>
      </c>
    </row>
    <row r="69" customFormat="false" ht="15" hidden="false" customHeight="true" outlineLevel="0" collapsed="false">
      <c r="A69" s="1" t="s">
        <v>1098</v>
      </c>
      <c r="B69" s="1" t="s">
        <v>1099</v>
      </c>
      <c r="C69" s="1" t="s">
        <v>1114</v>
      </c>
      <c r="D69" s="1" t="s">
        <v>935</v>
      </c>
      <c r="E69" s="1" t="s">
        <v>288</v>
      </c>
      <c r="F69" s="1" t="s">
        <v>288</v>
      </c>
      <c r="G69" s="1" t="s">
        <v>1115</v>
      </c>
      <c r="H69" s="1" t="s">
        <v>446</v>
      </c>
      <c r="I69" s="1" t="s">
        <v>739</v>
      </c>
      <c r="J69" s="1" t="s">
        <v>55</v>
      </c>
      <c r="K69" s="1" t="s">
        <v>159</v>
      </c>
    </row>
    <row r="71" customFormat="false" ht="15" hidden="false" customHeight="true" outlineLevel="0" collapsed="false">
      <c r="A71" s="1" t="s">
        <v>1116</v>
      </c>
    </row>
    <row r="72" customFormat="false" ht="15" hidden="false" customHeight="true" outlineLevel="0" collapsed="false">
      <c r="A72" s="1" t="s">
        <v>1117</v>
      </c>
      <c r="B72" s="1" t="s">
        <v>1118</v>
      </c>
      <c r="C72" s="1" t="s">
        <v>1119</v>
      </c>
      <c r="D72" s="1" t="s">
        <v>761</v>
      </c>
      <c r="E72" s="1" t="s">
        <v>288</v>
      </c>
      <c r="F72" s="1" t="s">
        <v>288</v>
      </c>
    </row>
    <row r="73" customFormat="false" ht="15" hidden="false" customHeight="true" outlineLevel="0" collapsed="false">
      <c r="A73" s="1" t="s">
        <v>1117</v>
      </c>
      <c r="B73" s="1" t="s">
        <v>1118</v>
      </c>
      <c r="C73" s="1" t="s">
        <v>1120</v>
      </c>
      <c r="D73" s="1" t="s">
        <v>34</v>
      </c>
      <c r="E73" s="1" t="s">
        <v>288</v>
      </c>
      <c r="F73" s="1" t="s">
        <v>288</v>
      </c>
    </row>
    <row r="74" customFormat="false" ht="15" hidden="false" customHeight="true" outlineLevel="0" collapsed="false">
      <c r="A74" s="1" t="s">
        <v>1117</v>
      </c>
      <c r="B74" s="1" t="s">
        <v>1118</v>
      </c>
      <c r="C74" s="1" t="s">
        <v>1121</v>
      </c>
      <c r="D74" s="1" t="s">
        <v>34</v>
      </c>
      <c r="E74" s="1" t="s">
        <v>288</v>
      </c>
      <c r="F74" s="1" t="s">
        <v>288</v>
      </c>
    </row>
    <row r="75" customFormat="false" ht="15" hidden="false" customHeight="true" outlineLevel="0" collapsed="false">
      <c r="A75" s="1" t="s">
        <v>1117</v>
      </c>
      <c r="B75" s="1" t="s">
        <v>1118</v>
      </c>
      <c r="C75" s="1" t="s">
        <v>1122</v>
      </c>
      <c r="D75" s="1" t="s">
        <v>761</v>
      </c>
      <c r="E75" s="1" t="s">
        <v>288</v>
      </c>
      <c r="F75" s="1" t="s">
        <v>288</v>
      </c>
    </row>
    <row r="76" customFormat="false" ht="15" hidden="false" customHeight="true" outlineLevel="0" collapsed="false">
      <c r="A76" s="1" t="s">
        <v>1117</v>
      </c>
      <c r="B76" s="1" t="s">
        <v>1118</v>
      </c>
      <c r="C76" s="1" t="s">
        <v>1123</v>
      </c>
      <c r="D76" s="1" t="s">
        <v>935</v>
      </c>
      <c r="E76" s="1" t="s">
        <v>288</v>
      </c>
      <c r="F76" s="1" t="s">
        <v>288</v>
      </c>
    </row>
    <row r="77" customFormat="false" ht="15" hidden="false" customHeight="true" outlineLevel="0" collapsed="false">
      <c r="A77" s="1" t="s">
        <v>1117</v>
      </c>
      <c r="B77" s="1" t="s">
        <v>1118</v>
      </c>
      <c r="C77" s="1" t="s">
        <v>1124</v>
      </c>
      <c r="D77" s="1" t="s">
        <v>34</v>
      </c>
      <c r="E77" s="1" t="s">
        <v>288</v>
      </c>
      <c r="F77" s="1" t="s">
        <v>288</v>
      </c>
    </row>
    <row r="78" customFormat="false" ht="15" hidden="false" customHeight="true" outlineLevel="0" collapsed="false">
      <c r="A78" s="1" t="s">
        <v>1117</v>
      </c>
      <c r="B78" s="1" t="s">
        <v>1118</v>
      </c>
      <c r="C78" s="1" t="s">
        <v>1125</v>
      </c>
      <c r="D78" s="1" t="s">
        <v>761</v>
      </c>
      <c r="E78" s="1" t="s">
        <v>288</v>
      </c>
      <c r="F78" s="1" t="s">
        <v>288</v>
      </c>
    </row>
    <row r="79" customFormat="false" ht="15" hidden="false" customHeight="true" outlineLevel="0" collapsed="false">
      <c r="A79" s="1" t="s">
        <v>1117</v>
      </c>
      <c r="B79" s="1" t="s">
        <v>1118</v>
      </c>
      <c r="C79" s="1" t="s">
        <v>1126</v>
      </c>
      <c r="D79" s="1" t="s">
        <v>909</v>
      </c>
      <c r="E79" s="1" t="s">
        <v>288</v>
      </c>
      <c r="F79" s="1" t="s">
        <v>288</v>
      </c>
    </row>
    <row r="80" customFormat="false" ht="15" hidden="false" customHeight="true" outlineLevel="0" collapsed="false">
      <c r="A80" s="1" t="s">
        <v>1117</v>
      </c>
      <c r="B80" s="1" t="s">
        <v>1118</v>
      </c>
      <c r="C80" s="1" t="s">
        <v>1127</v>
      </c>
      <c r="D80" s="1" t="s">
        <v>935</v>
      </c>
      <c r="E80" s="1" t="s">
        <v>288</v>
      </c>
      <c r="F80" s="1" t="s">
        <v>288</v>
      </c>
    </row>
    <row r="82" customFormat="false" ht="15" hidden="false" customHeight="true" outlineLevel="0" collapsed="false">
      <c r="A82" s="1" t="s">
        <v>1128</v>
      </c>
    </row>
    <row r="83" customFormat="false" ht="15" hidden="false" customHeight="true" outlineLevel="0" collapsed="false">
      <c r="A83" s="1" t="s">
        <v>1129</v>
      </c>
      <c r="B83" s="1" t="s">
        <v>1130</v>
      </c>
      <c r="C83" s="1" t="s">
        <v>1131</v>
      </c>
      <c r="D83" s="1" t="s">
        <v>761</v>
      </c>
      <c r="E83" s="1" t="s">
        <v>288</v>
      </c>
      <c r="F83" s="1" t="s">
        <v>288</v>
      </c>
      <c r="G83" s="1" t="s">
        <v>1101</v>
      </c>
      <c r="H83" s="1" t="s">
        <v>446</v>
      </c>
      <c r="I83" s="1" t="s">
        <v>280</v>
      </c>
      <c r="J83" s="1" t="s">
        <v>17</v>
      </c>
      <c r="K83" s="1" t="s">
        <v>159</v>
      </c>
    </row>
    <row r="84" customFormat="false" ht="15" hidden="false" customHeight="true" outlineLevel="0" collapsed="false">
      <c r="A84" s="1" t="s">
        <v>1129</v>
      </c>
      <c r="B84" s="1" t="s">
        <v>1130</v>
      </c>
      <c r="C84" s="1" t="s">
        <v>1132</v>
      </c>
      <c r="D84" s="1" t="s">
        <v>34</v>
      </c>
      <c r="E84" s="1" t="s">
        <v>288</v>
      </c>
      <c r="F84" s="1" t="s">
        <v>288</v>
      </c>
      <c r="G84" s="1" t="s">
        <v>1133</v>
      </c>
      <c r="H84" s="1" t="s">
        <v>446</v>
      </c>
      <c r="I84" s="1" t="s">
        <v>474</v>
      </c>
      <c r="J84" s="1" t="s">
        <v>34</v>
      </c>
      <c r="K84" s="1" t="s">
        <v>159</v>
      </c>
    </row>
    <row r="85" customFormat="false" ht="15" hidden="false" customHeight="true" outlineLevel="0" collapsed="false">
      <c r="A85" s="1" t="s">
        <v>1129</v>
      </c>
      <c r="B85" s="1" t="s">
        <v>1130</v>
      </c>
      <c r="C85" s="1" t="s">
        <v>1134</v>
      </c>
      <c r="D85" s="1" t="s">
        <v>34</v>
      </c>
      <c r="E85" s="1" t="s">
        <v>288</v>
      </c>
      <c r="F85" s="1" t="s">
        <v>288</v>
      </c>
      <c r="G85" s="1" t="s">
        <v>1135</v>
      </c>
      <c r="H85" s="1" t="s">
        <v>446</v>
      </c>
      <c r="I85" s="1" t="s">
        <v>414</v>
      </c>
      <c r="J85" s="1" t="s">
        <v>34</v>
      </c>
      <c r="K85" s="1" t="s">
        <v>159</v>
      </c>
    </row>
    <row r="86" customFormat="false" ht="15" hidden="false" customHeight="true" outlineLevel="0" collapsed="false">
      <c r="A86" s="1" t="s">
        <v>1129</v>
      </c>
      <c r="B86" s="1" t="s">
        <v>1130</v>
      </c>
      <c r="C86" s="1" t="s">
        <v>1136</v>
      </c>
      <c r="D86" s="1" t="s">
        <v>761</v>
      </c>
      <c r="E86" s="1" t="s">
        <v>288</v>
      </c>
      <c r="F86" s="1" t="s">
        <v>288</v>
      </c>
      <c r="G86" s="1" t="s">
        <v>1137</v>
      </c>
      <c r="H86" s="1" t="s">
        <v>446</v>
      </c>
      <c r="I86" s="1" t="s">
        <v>372</v>
      </c>
      <c r="J86" s="1" t="s">
        <v>23</v>
      </c>
      <c r="K86" s="1" t="s">
        <v>159</v>
      </c>
    </row>
    <row r="87" customFormat="false" ht="15" hidden="false" customHeight="true" outlineLevel="0" collapsed="false">
      <c r="A87" s="1" t="s">
        <v>1129</v>
      </c>
      <c r="B87" s="1" t="s">
        <v>1130</v>
      </c>
      <c r="C87" s="1" t="s">
        <v>1138</v>
      </c>
      <c r="D87" s="1" t="s">
        <v>935</v>
      </c>
      <c r="E87" s="1" t="s">
        <v>288</v>
      </c>
      <c r="F87" s="1" t="s">
        <v>288</v>
      </c>
      <c r="G87" s="1" t="s">
        <v>1139</v>
      </c>
      <c r="H87" s="1" t="s">
        <v>446</v>
      </c>
      <c r="I87" s="1" t="s">
        <v>307</v>
      </c>
      <c r="J87" s="1" t="s">
        <v>45</v>
      </c>
      <c r="K87" s="1" t="s">
        <v>159</v>
      </c>
    </row>
    <row r="88" customFormat="false" ht="15" hidden="false" customHeight="true" outlineLevel="0" collapsed="false">
      <c r="A88" s="1" t="s">
        <v>1129</v>
      </c>
      <c r="B88" s="1" t="s">
        <v>1130</v>
      </c>
      <c r="C88" s="1" t="s">
        <v>1140</v>
      </c>
      <c r="D88" s="1" t="s">
        <v>34</v>
      </c>
      <c r="E88" s="1" t="s">
        <v>288</v>
      </c>
      <c r="F88" s="1" t="s">
        <v>288</v>
      </c>
      <c r="G88" s="1" t="s">
        <v>1141</v>
      </c>
      <c r="H88" s="1" t="s">
        <v>446</v>
      </c>
      <c r="I88" s="1" t="s">
        <v>316</v>
      </c>
      <c r="J88" s="1" t="s">
        <v>34</v>
      </c>
      <c r="K88" s="1" t="s">
        <v>159</v>
      </c>
    </row>
    <row r="89" customFormat="false" ht="15" hidden="false" customHeight="true" outlineLevel="0" collapsed="false">
      <c r="A89" s="1" t="s">
        <v>1129</v>
      </c>
      <c r="B89" s="1" t="s">
        <v>1130</v>
      </c>
      <c r="C89" s="1" t="s">
        <v>1142</v>
      </c>
      <c r="D89" s="1" t="s">
        <v>761</v>
      </c>
      <c r="E89" s="1" t="s">
        <v>288</v>
      </c>
      <c r="F89" s="1" t="s">
        <v>288</v>
      </c>
      <c r="G89" s="1" t="s">
        <v>1143</v>
      </c>
      <c r="H89" s="1" t="s">
        <v>446</v>
      </c>
      <c r="I89" s="1" t="s">
        <v>262</v>
      </c>
      <c r="J89" s="1" t="s">
        <v>23</v>
      </c>
      <c r="K89" s="1" t="s">
        <v>159</v>
      </c>
    </row>
    <row r="90" customFormat="false" ht="15" hidden="false" customHeight="true" outlineLevel="0" collapsed="false">
      <c r="A90" s="1" t="s">
        <v>1129</v>
      </c>
      <c r="B90" s="1" t="s">
        <v>1130</v>
      </c>
      <c r="C90" s="1" t="s">
        <v>1144</v>
      </c>
      <c r="D90" s="1" t="s">
        <v>909</v>
      </c>
      <c r="E90" s="1" t="s">
        <v>288</v>
      </c>
      <c r="F90" s="1" t="s">
        <v>288</v>
      </c>
      <c r="G90" s="1" t="s">
        <v>1145</v>
      </c>
      <c r="H90" s="1" t="s">
        <v>446</v>
      </c>
      <c r="I90" s="1" t="s">
        <v>811</v>
      </c>
      <c r="J90" s="1" t="s">
        <v>909</v>
      </c>
      <c r="K90" s="1" t="s">
        <v>159</v>
      </c>
    </row>
    <row r="91" customFormat="false" ht="15" hidden="false" customHeight="true" outlineLevel="0" collapsed="false">
      <c r="A91" s="1" t="s">
        <v>1129</v>
      </c>
      <c r="B91" s="1" t="s">
        <v>1130</v>
      </c>
      <c r="C91" s="1" t="s">
        <v>1146</v>
      </c>
      <c r="D91" s="1" t="s">
        <v>935</v>
      </c>
      <c r="E91" s="1" t="s">
        <v>288</v>
      </c>
      <c r="F91" s="1" t="s">
        <v>288</v>
      </c>
      <c r="G91" s="1" t="s">
        <v>1143</v>
      </c>
      <c r="H91" s="1" t="s">
        <v>446</v>
      </c>
      <c r="I91" s="1" t="s">
        <v>739</v>
      </c>
      <c r="J91" s="1" t="s">
        <v>55</v>
      </c>
      <c r="K91" s="1" t="s">
        <v>159</v>
      </c>
    </row>
    <row r="93" customFormat="false" ht="15" hidden="false" customHeight="false" outlineLevel="0" collapsed="false">
      <c r="A93" s="99" t="s">
        <v>1147</v>
      </c>
      <c r="B93" s="99"/>
      <c r="C93" s="99"/>
      <c r="D93" s="99"/>
      <c r="E93" s="99"/>
      <c r="F93" s="99"/>
      <c r="G93" s="99"/>
      <c r="H93" s="99"/>
      <c r="I93" s="99"/>
      <c r="J93" s="99"/>
      <c r="K93" s="99"/>
    </row>
    <row r="94" customFormat="false" ht="23.85" hidden="false" customHeight="false" outlineLevel="0" collapsed="false">
      <c r="A94" s="27" t="s">
        <v>1147</v>
      </c>
      <c r="B94" s="27" t="s">
        <v>158</v>
      </c>
      <c r="C94" s="27" t="s">
        <v>174</v>
      </c>
      <c r="D94" s="27" t="s">
        <v>1148</v>
      </c>
      <c r="E94" s="27" t="s">
        <v>936</v>
      </c>
      <c r="F94" s="27" t="s">
        <v>1149</v>
      </c>
      <c r="G94" s="27" t="s">
        <v>1150</v>
      </c>
      <c r="H94" s="27" t="s">
        <v>446</v>
      </c>
      <c r="I94" s="27" t="s">
        <v>280</v>
      </c>
      <c r="J94" s="27" t="s">
        <v>17</v>
      </c>
      <c r="K94" s="27" t="s">
        <v>159</v>
      </c>
    </row>
    <row r="95" customFormat="false" ht="23.85" hidden="false" customHeight="false" outlineLevel="0" collapsed="false">
      <c r="A95" s="27" t="s">
        <v>1147</v>
      </c>
      <c r="B95" s="27" t="s">
        <v>158</v>
      </c>
      <c r="C95" s="27" t="s">
        <v>162</v>
      </c>
      <c r="D95" s="27" t="s">
        <v>1151</v>
      </c>
      <c r="E95" s="27" t="s">
        <v>936</v>
      </c>
      <c r="F95" s="27" t="s">
        <v>1152</v>
      </c>
      <c r="G95" s="27" t="s">
        <v>1153</v>
      </c>
      <c r="H95" s="27" t="s">
        <v>446</v>
      </c>
      <c r="I95" s="27" t="s">
        <v>1154</v>
      </c>
      <c r="J95" s="27" t="s">
        <v>34</v>
      </c>
      <c r="K95" s="27" t="s">
        <v>159</v>
      </c>
    </row>
    <row r="96" customFormat="false" ht="23.85" hidden="false" customHeight="false" outlineLevel="0" collapsed="false">
      <c r="A96" s="27" t="s">
        <v>1147</v>
      </c>
      <c r="B96" s="27" t="s">
        <v>158</v>
      </c>
      <c r="C96" s="27" t="s">
        <v>154</v>
      </c>
      <c r="D96" s="27" t="s">
        <v>1155</v>
      </c>
      <c r="E96" s="27" t="s">
        <v>936</v>
      </c>
      <c r="F96" s="27" t="s">
        <v>1156</v>
      </c>
      <c r="G96" s="27" t="s">
        <v>1157</v>
      </c>
      <c r="H96" s="27" t="s">
        <v>446</v>
      </c>
      <c r="I96" s="27" t="s">
        <v>1158</v>
      </c>
      <c r="J96" s="27" t="s">
        <v>34</v>
      </c>
      <c r="K96" s="27" t="s">
        <v>159</v>
      </c>
    </row>
    <row r="97" customFormat="false" ht="23.85" hidden="false" customHeight="false" outlineLevel="0" collapsed="false">
      <c r="A97" s="27" t="s">
        <v>1147</v>
      </c>
      <c r="B97" s="27" t="s">
        <v>158</v>
      </c>
      <c r="C97" s="27" t="s">
        <v>1159</v>
      </c>
      <c r="D97" s="27" t="s">
        <v>761</v>
      </c>
      <c r="E97" s="27" t="s">
        <v>1160</v>
      </c>
      <c r="F97" s="27" t="s">
        <v>1161</v>
      </c>
      <c r="G97" s="27" t="s">
        <v>1162</v>
      </c>
      <c r="H97" s="27" t="s">
        <v>446</v>
      </c>
      <c r="I97" s="27" t="s">
        <v>1163</v>
      </c>
      <c r="J97" s="27" t="s">
        <v>23</v>
      </c>
      <c r="K97" s="27" t="s">
        <v>159</v>
      </c>
    </row>
    <row r="98" customFormat="false" ht="23.85" hidden="false" customHeight="false" outlineLevel="0" collapsed="false">
      <c r="A98" s="27" t="s">
        <v>1147</v>
      </c>
      <c r="B98" s="27" t="s">
        <v>158</v>
      </c>
      <c r="C98" s="27" t="s">
        <v>1164</v>
      </c>
      <c r="D98" s="27" t="s">
        <v>1165</v>
      </c>
      <c r="E98" s="27" t="s">
        <v>936</v>
      </c>
      <c r="F98" s="27" t="s">
        <v>1166</v>
      </c>
      <c r="G98" s="27" t="s">
        <v>1167</v>
      </c>
      <c r="H98" s="27" t="s">
        <v>446</v>
      </c>
      <c r="I98" s="27" t="s">
        <v>262</v>
      </c>
      <c r="J98" s="27" t="s">
        <v>23</v>
      </c>
      <c r="K98" s="27" t="s">
        <v>159</v>
      </c>
    </row>
    <row r="99" customFormat="false" ht="23.85" hidden="false" customHeight="false" outlineLevel="0" collapsed="false">
      <c r="A99" s="27" t="s">
        <v>1147</v>
      </c>
      <c r="B99" s="27" t="s">
        <v>158</v>
      </c>
      <c r="C99" s="27" t="s">
        <v>1168</v>
      </c>
      <c r="D99" s="27" t="s">
        <v>1169</v>
      </c>
      <c r="E99" s="27" t="s">
        <v>936</v>
      </c>
      <c r="F99" s="27" t="s">
        <v>1170</v>
      </c>
      <c r="G99" s="27" t="s">
        <v>1171</v>
      </c>
      <c r="H99" s="27" t="s">
        <v>446</v>
      </c>
      <c r="I99" s="27" t="s">
        <v>1172</v>
      </c>
      <c r="J99" s="27" t="s">
        <v>1173</v>
      </c>
      <c r="K99" s="27" t="s">
        <v>159</v>
      </c>
    </row>
    <row r="100" customFormat="false" ht="23.85" hidden="false" customHeight="false" outlineLevel="0" collapsed="false">
      <c r="A100" s="27" t="s">
        <v>1147</v>
      </c>
      <c r="B100" s="27" t="s">
        <v>158</v>
      </c>
      <c r="C100" s="27" t="s">
        <v>1174</v>
      </c>
      <c r="D100" s="27" t="s">
        <v>34</v>
      </c>
      <c r="E100" s="27" t="s">
        <v>1160</v>
      </c>
      <c r="F100" s="27" t="s">
        <v>1175</v>
      </c>
      <c r="G100" s="27" t="s">
        <v>1176</v>
      </c>
      <c r="H100" s="27" t="s">
        <v>446</v>
      </c>
      <c r="I100" s="27" t="s">
        <v>316</v>
      </c>
      <c r="J100" s="27" t="s">
        <v>34</v>
      </c>
      <c r="K100" s="27" t="s">
        <v>159</v>
      </c>
    </row>
    <row r="101" customFormat="false" ht="23.85" hidden="false" customHeight="false" outlineLevel="0" collapsed="false">
      <c r="A101" s="27" t="s">
        <v>1147</v>
      </c>
      <c r="B101" s="27" t="s">
        <v>158</v>
      </c>
      <c r="C101" s="27" t="s">
        <v>1177</v>
      </c>
      <c r="D101" s="27" t="s">
        <v>909</v>
      </c>
      <c r="E101" s="27" t="s">
        <v>936</v>
      </c>
      <c r="F101" s="27" t="s">
        <v>1178</v>
      </c>
      <c r="G101" s="27" t="s">
        <v>1179</v>
      </c>
      <c r="H101" s="27" t="s">
        <v>446</v>
      </c>
      <c r="I101" s="27" t="s">
        <v>811</v>
      </c>
      <c r="J101" s="27" t="s">
        <v>909</v>
      </c>
      <c r="K101" s="27" t="s">
        <v>159</v>
      </c>
    </row>
    <row r="102" customFormat="false" ht="23.85" hidden="false" customHeight="false" outlineLevel="0" collapsed="false">
      <c r="A102" s="27" t="s">
        <v>1147</v>
      </c>
      <c r="B102" s="27" t="s">
        <v>158</v>
      </c>
      <c r="C102" s="27" t="s">
        <v>1180</v>
      </c>
      <c r="D102" s="27" t="s">
        <v>304</v>
      </c>
      <c r="E102" s="27" t="s">
        <v>936</v>
      </c>
      <c r="F102" s="27" t="s">
        <v>1181</v>
      </c>
      <c r="G102" s="27" t="s">
        <v>1182</v>
      </c>
      <c r="H102" s="27" t="s">
        <v>446</v>
      </c>
      <c r="I102" s="27" t="s">
        <v>739</v>
      </c>
      <c r="J102" s="27" t="s">
        <v>55</v>
      </c>
      <c r="K102" s="27" t="s">
        <v>159</v>
      </c>
    </row>
    <row r="103" customFormat="false" ht="23.85" hidden="false" customHeight="false" outlineLevel="0" collapsed="false">
      <c r="A103" s="27" t="s">
        <v>1147</v>
      </c>
      <c r="B103" s="27" t="s">
        <v>158</v>
      </c>
      <c r="C103" s="27" t="s">
        <v>1183</v>
      </c>
      <c r="D103" s="27" t="s">
        <v>1184</v>
      </c>
      <c r="E103" s="27" t="s">
        <v>936</v>
      </c>
      <c r="F103" s="27" t="s">
        <v>1185</v>
      </c>
      <c r="G103" s="27" t="s">
        <v>1186</v>
      </c>
      <c r="H103" s="27" t="s">
        <v>446</v>
      </c>
      <c r="I103" s="27" t="s">
        <v>1187</v>
      </c>
      <c r="J103" s="27" t="s">
        <v>1188</v>
      </c>
      <c r="K103" s="27" t="s">
        <v>159</v>
      </c>
    </row>
    <row r="104" customFormat="false" ht="23.85" hidden="false" customHeight="false" outlineLevel="0" collapsed="false">
      <c r="A104" s="27" t="s">
        <v>1147</v>
      </c>
      <c r="B104" s="27" t="s">
        <v>199</v>
      </c>
      <c r="C104" s="27" t="s">
        <v>196</v>
      </c>
      <c r="D104" s="27" t="s">
        <v>304</v>
      </c>
      <c r="E104" s="27" t="s">
        <v>936</v>
      </c>
      <c r="F104" s="27" t="s">
        <v>1189</v>
      </c>
      <c r="G104" s="27" t="s">
        <v>1190</v>
      </c>
      <c r="H104" s="27" t="s">
        <v>446</v>
      </c>
      <c r="I104" s="27" t="s">
        <v>739</v>
      </c>
      <c r="J104" s="27" t="s">
        <v>55</v>
      </c>
      <c r="K104" s="27" t="s">
        <v>159</v>
      </c>
    </row>
    <row r="105" customFormat="false" ht="23.85" hidden="false" customHeight="false" outlineLevel="0" collapsed="false">
      <c r="A105" s="27" t="s">
        <v>1147</v>
      </c>
      <c r="B105" s="27" t="s">
        <v>199</v>
      </c>
      <c r="C105" s="27" t="s">
        <v>1191</v>
      </c>
      <c r="D105" s="27" t="s">
        <v>304</v>
      </c>
      <c r="E105" s="27" t="s">
        <v>940</v>
      </c>
      <c r="F105" s="27" t="s">
        <v>1192</v>
      </c>
      <c r="G105" s="27" t="s">
        <v>1193</v>
      </c>
      <c r="H105" s="27" t="s">
        <v>446</v>
      </c>
      <c r="I105" s="27" t="s">
        <v>1154</v>
      </c>
      <c r="J105" s="27" t="s">
        <v>34</v>
      </c>
      <c r="K105" s="27" t="s">
        <v>159</v>
      </c>
    </row>
    <row r="106" customFormat="false" ht="23.85" hidden="false" customHeight="false" outlineLevel="0" collapsed="false">
      <c r="A106" s="27" t="s">
        <v>1147</v>
      </c>
      <c r="B106" s="27" t="s">
        <v>199</v>
      </c>
      <c r="C106" s="27" t="s">
        <v>208</v>
      </c>
      <c r="D106" s="27" t="s">
        <v>547</v>
      </c>
      <c r="E106" s="27" t="s">
        <v>936</v>
      </c>
      <c r="F106" s="27" t="s">
        <v>1194</v>
      </c>
      <c r="G106" s="27" t="s">
        <v>1195</v>
      </c>
      <c r="H106" s="27" t="s">
        <v>446</v>
      </c>
      <c r="I106" s="27" t="s">
        <v>280</v>
      </c>
      <c r="J106" s="27" t="s">
        <v>17</v>
      </c>
      <c r="K106" s="27" t="s">
        <v>159</v>
      </c>
    </row>
    <row r="107" customFormat="false" ht="23.85" hidden="false" customHeight="false" outlineLevel="0" collapsed="false">
      <c r="A107" s="27" t="s">
        <v>1147</v>
      </c>
      <c r="B107" s="27" t="s">
        <v>217</v>
      </c>
      <c r="C107" s="27" t="s">
        <v>215</v>
      </c>
      <c r="D107" s="27" t="s">
        <v>1196</v>
      </c>
      <c r="E107" s="27" t="s">
        <v>960</v>
      </c>
      <c r="F107" s="27" t="s">
        <v>1197</v>
      </c>
      <c r="G107" s="27" t="s">
        <v>1198</v>
      </c>
      <c r="H107" s="27" t="s">
        <v>446</v>
      </c>
      <c r="I107" s="27" t="s">
        <v>739</v>
      </c>
      <c r="J107" s="27" t="s">
        <v>55</v>
      </c>
      <c r="K107" s="27" t="s">
        <v>159</v>
      </c>
    </row>
    <row r="108" customFormat="false" ht="23.85" hidden="false" customHeight="false" outlineLevel="0" collapsed="false">
      <c r="A108" s="27" t="s">
        <v>1147</v>
      </c>
      <c r="B108" s="27" t="s">
        <v>217</v>
      </c>
      <c r="C108" s="27" t="s">
        <v>221</v>
      </c>
      <c r="D108" s="27" t="s">
        <v>1184</v>
      </c>
      <c r="E108" s="27" t="s">
        <v>960</v>
      </c>
      <c r="F108" s="27" t="s">
        <v>1199</v>
      </c>
      <c r="G108" s="27" t="s">
        <v>1200</v>
      </c>
      <c r="H108" s="27" t="s">
        <v>446</v>
      </c>
      <c r="I108" s="27" t="s">
        <v>1187</v>
      </c>
      <c r="J108" s="27" t="s">
        <v>1188</v>
      </c>
      <c r="K108" s="27" t="s">
        <v>159</v>
      </c>
    </row>
    <row r="109" customFormat="false" ht="23.85" hidden="false" customHeight="false" outlineLevel="0" collapsed="false">
      <c r="A109" s="27" t="s">
        <v>1147</v>
      </c>
      <c r="B109" s="27" t="s">
        <v>236</v>
      </c>
      <c r="C109" s="27" t="s">
        <v>233</v>
      </c>
      <c r="D109" s="27" t="s">
        <v>304</v>
      </c>
      <c r="E109" s="27" t="s">
        <v>960</v>
      </c>
      <c r="F109" s="27" t="s">
        <v>1201</v>
      </c>
      <c r="G109" s="27" t="s">
        <v>1202</v>
      </c>
      <c r="H109" s="27" t="s">
        <v>446</v>
      </c>
      <c r="I109" s="27" t="s">
        <v>739</v>
      </c>
      <c r="J109" s="27" t="s">
        <v>55</v>
      </c>
      <c r="K109" s="27" t="s">
        <v>159</v>
      </c>
    </row>
    <row r="110" customFormat="false" ht="23.85" hidden="false" customHeight="false" outlineLevel="0" collapsed="false">
      <c r="A110" s="27" t="s">
        <v>1147</v>
      </c>
      <c r="B110" s="27" t="s">
        <v>229</v>
      </c>
      <c r="C110" s="27" t="s">
        <v>227</v>
      </c>
      <c r="D110" s="27" t="s">
        <v>761</v>
      </c>
      <c r="E110" s="27" t="s">
        <v>936</v>
      </c>
      <c r="F110" s="27" t="s">
        <v>1203</v>
      </c>
      <c r="G110" s="27" t="s">
        <v>1204</v>
      </c>
      <c r="H110" s="27" t="s">
        <v>446</v>
      </c>
      <c r="I110" s="27" t="s">
        <v>1163</v>
      </c>
      <c r="J110" s="27" t="s">
        <v>23</v>
      </c>
      <c r="K110" s="27" t="s">
        <v>159</v>
      </c>
    </row>
    <row r="111" customFormat="false" ht="23.85" hidden="false" customHeight="false" outlineLevel="0" collapsed="false">
      <c r="A111" s="27" t="s">
        <v>1205</v>
      </c>
      <c r="B111" s="27" t="s">
        <v>1206</v>
      </c>
      <c r="C111" s="27" t="s">
        <v>241</v>
      </c>
      <c r="D111" s="27" t="s">
        <v>1184</v>
      </c>
      <c r="E111" s="27" t="s">
        <v>1207</v>
      </c>
      <c r="F111" s="27" t="s">
        <v>1208</v>
      </c>
      <c r="G111" s="27" t="s">
        <v>1209</v>
      </c>
      <c r="H111" s="27" t="s">
        <v>446</v>
      </c>
      <c r="I111" s="27" t="s">
        <v>1187</v>
      </c>
      <c r="J111" s="27" t="s">
        <v>1188</v>
      </c>
      <c r="K111" s="27" t="s">
        <v>159</v>
      </c>
    </row>
  </sheetData>
  <autoFilter ref="A1:K36"/>
  <mergeCells count="1">
    <mergeCell ref="A93:K93"/>
  </mergeCells>
  <dataValidations count="3">
    <dataValidation allowBlank="true" error="Use ☐ or ☑" errorStyle="stop" errorTitle="Invalid" operator="between" showDropDown="false" showErrorMessage="false" showInputMessage="false" sqref="H2:H36" type="list">
      <formula1>"☐,☑"</formula1>
      <formula2>0</formula2>
    </dataValidation>
    <dataValidation allowBlank="true" errorStyle="stop" operator="between" showDropDown="false" showErrorMessage="false" showInputMessage="false" sqref="I2:I36" type="list">
      <formula1>"AR,PK,VS,NK,DM,SP,RG,AM,KS,PAIR,ALL"</formula1>
      <formula2>0</formula2>
    </dataValidation>
    <dataValidation allowBlank="true" errorStyle="stop" operator="between" showDropDown="false" showErrorMessage="false" showInputMessage="false" sqref="K2:K36" type="list">
      <formula1>"NOT STARTED,IN PROGRESS,IN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923C"/>
    <pageSetUpPr fitToPage="false"/>
  </sheetPr>
  <dimension ref="A1:AA125"/>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A1" activeCellId="0" sqref="A1"/>
    </sheetView>
  </sheetViews>
  <sheetFormatPr defaultColWidth="8.66796875" defaultRowHeight="15" customHeight="true" zeroHeight="false" outlineLevelRow="0" outlineLevelCol="0"/>
  <cols>
    <col collapsed="false" customWidth="true" hidden="false" outlineLevel="0" max="1" min="1" style="1" width="20"/>
    <col collapsed="false" customWidth="true" hidden="false" outlineLevel="0" max="2" min="2" style="1" width="61.83"/>
    <col collapsed="false" customWidth="true" hidden="false" outlineLevel="0" max="8" min="3" style="1" width="9.67"/>
  </cols>
  <sheetData>
    <row r="1" customFormat="false" ht="17.25" hidden="false" customHeight="true" outlineLevel="0" collapsed="false">
      <c r="A1" s="24" t="s">
        <v>1210</v>
      </c>
      <c r="AA1" s="100" t="s">
        <v>1211</v>
      </c>
    </row>
    <row r="3" customFormat="false" ht="15" hidden="false" customHeight="true" outlineLevel="0" collapsed="false">
      <c r="A3" s="4" t="s">
        <v>1212</v>
      </c>
      <c r="B3" s="4"/>
      <c r="C3" s="4"/>
      <c r="D3" s="4"/>
      <c r="E3" s="4"/>
      <c r="AA3" s="101" t="s">
        <v>1213</v>
      </c>
    </row>
    <row r="4" customFormat="false" ht="15" hidden="false" customHeight="true" outlineLevel="0" collapsed="false">
      <c r="A4" s="11" t="s">
        <v>1214</v>
      </c>
      <c r="B4" s="11"/>
      <c r="C4" s="11"/>
      <c r="D4" s="11"/>
      <c r="E4" s="11"/>
      <c r="AA4" s="101" t="s">
        <v>1215</v>
      </c>
    </row>
    <row r="5" customFormat="false" ht="15" hidden="false" customHeight="true" outlineLevel="0" collapsed="false">
      <c r="A5" s="102" t="s">
        <v>1216</v>
      </c>
      <c r="B5" s="102" t="s">
        <v>1217</v>
      </c>
      <c r="C5" s="102" t="s">
        <v>1218</v>
      </c>
      <c r="D5" s="102" t="s">
        <v>1219</v>
      </c>
      <c r="E5" s="102" t="s">
        <v>1220</v>
      </c>
      <c r="F5" s="103" t="s">
        <v>1221</v>
      </c>
      <c r="G5" s="103" t="s">
        <v>1222</v>
      </c>
      <c r="H5" s="103" t="s">
        <v>1223</v>
      </c>
      <c r="I5" s="104" t="s">
        <v>1224</v>
      </c>
      <c r="J5" s="105" t="s">
        <v>396</v>
      </c>
      <c r="K5" s="106" t="s">
        <v>1225</v>
      </c>
      <c r="L5" s="106" t="s">
        <v>1226</v>
      </c>
      <c r="M5" s="107" t="s">
        <v>630</v>
      </c>
      <c r="N5" s="103" t="s">
        <v>1227</v>
      </c>
      <c r="O5" s="1" t="s">
        <v>1228</v>
      </c>
      <c r="P5" s="103" t="s">
        <v>1229</v>
      </c>
      <c r="Q5" s="103" t="s">
        <v>1230</v>
      </c>
      <c r="R5" s="108" t="s">
        <v>1231</v>
      </c>
      <c r="S5" s="109" t="s">
        <v>1232</v>
      </c>
      <c r="T5" s="108" t="s">
        <v>1233</v>
      </c>
      <c r="U5" s="108" t="s">
        <v>1234</v>
      </c>
      <c r="V5" s="108" t="s">
        <v>1235</v>
      </c>
      <c r="W5" s="108" t="s">
        <v>1236</v>
      </c>
      <c r="X5" s="108" t="s">
        <v>1237</v>
      </c>
      <c r="Y5" s="108" t="s">
        <v>1238</v>
      </c>
      <c r="Z5" s="108" t="s">
        <v>1239</v>
      </c>
      <c r="AA5" s="110" t="s">
        <v>1211</v>
      </c>
    </row>
    <row r="6" customFormat="false" ht="15" hidden="false" customHeight="true" outlineLevel="0" collapsed="false">
      <c r="A6" s="11" t="s">
        <v>1240</v>
      </c>
      <c r="B6" s="11" t="n">
        <v>184</v>
      </c>
      <c r="C6" s="11" t="n">
        <v>258</v>
      </c>
      <c r="D6" s="11" t="n">
        <v>325</v>
      </c>
      <c r="E6" s="11" t="n">
        <v>418</v>
      </c>
      <c r="F6" s="1" t="n">
        <v>429</v>
      </c>
      <c r="G6" s="1" t="n">
        <v>461</v>
      </c>
      <c r="H6" s="1" t="n">
        <v>512</v>
      </c>
      <c r="I6" s="1" t="n">
        <v>555</v>
      </c>
      <c r="J6" s="111" t="n">
        <v>794</v>
      </c>
      <c r="K6" s="112" t="n">
        <v>848</v>
      </c>
      <c r="L6" s="112" t="n">
        <v>1565</v>
      </c>
      <c r="M6" s="113" t="n">
        <v>1609</v>
      </c>
      <c r="N6" s="1" t="n">
        <v>1700</v>
      </c>
      <c r="O6" s="1" t="n">
        <v>1800</v>
      </c>
      <c r="P6" s="1" t="n">
        <v>1860</v>
      </c>
      <c r="Q6" s="1" t="n">
        <v>1900</v>
      </c>
      <c r="R6" s="113" t="n">
        <v>1960</v>
      </c>
      <c r="S6" s="113" t="n">
        <v>2000</v>
      </c>
      <c r="T6" s="113" t="n">
        <v>2050</v>
      </c>
      <c r="U6" s="113" t="n">
        <v>2100</v>
      </c>
      <c r="V6" s="113" t="n">
        <v>2200</v>
      </c>
      <c r="W6" s="111" t="n">
        <v>2280</v>
      </c>
      <c r="X6" s="111" t="n">
        <v>2320</v>
      </c>
      <c r="Y6" s="113" t="n">
        <v>2343</v>
      </c>
      <c r="Z6" s="113" t="n">
        <v>2410</v>
      </c>
      <c r="AA6" s="111" t="n">
        <v>2593</v>
      </c>
    </row>
    <row r="7" customFormat="false" ht="15" hidden="false" customHeight="true" outlineLevel="0" collapsed="false">
      <c r="A7" s="7" t="s">
        <v>1241</v>
      </c>
      <c r="B7" s="7" t="n">
        <v>22541</v>
      </c>
      <c r="C7" s="7" t="n">
        <v>40672</v>
      </c>
      <c r="D7" s="7" t="n">
        <v>58339</v>
      </c>
      <c r="E7" s="7" t="n">
        <v>83232</v>
      </c>
      <c r="F7" s="1" t="n">
        <v>113346</v>
      </c>
      <c r="G7" s="1" t="n">
        <v>130966</v>
      </c>
      <c r="H7" s="1" t="n">
        <v>153011</v>
      </c>
      <c r="I7" s="1" t="n">
        <v>168753</v>
      </c>
      <c r="J7" s="111" t="n">
        <v>208287</v>
      </c>
      <c r="K7" s="112" t="n">
        <v>221000</v>
      </c>
      <c r="L7" s="112" t="n">
        <v>156361</v>
      </c>
      <c r="M7" s="113" t="n">
        <v>170399</v>
      </c>
      <c r="N7" s="1" t="n">
        <v>200000</v>
      </c>
      <c r="O7" s="1" t="n">
        <v>225000</v>
      </c>
      <c r="P7" s="1" t="n">
        <v>235000</v>
      </c>
      <c r="Q7" s="1" t="n">
        <v>248000</v>
      </c>
      <c r="R7" s="113" t="n">
        <v>262000</v>
      </c>
      <c r="S7" s="113" t="n">
        <v>280000</v>
      </c>
      <c r="T7" s="113" t="n">
        <v>298000</v>
      </c>
      <c r="U7" s="113" t="n">
        <v>320000</v>
      </c>
      <c r="V7" s="113" t="n">
        <v>350000</v>
      </c>
      <c r="W7" s="111" t="n">
        <v>371000</v>
      </c>
      <c r="X7" s="111" t="n">
        <v>383000</v>
      </c>
      <c r="Y7" s="113" t="n">
        <v>392000</v>
      </c>
      <c r="Z7" s="113" t="n">
        <v>423000</v>
      </c>
      <c r="AA7" s="111" t="n">
        <v>468604</v>
      </c>
    </row>
    <row r="8" customFormat="false" ht="15" hidden="false" customHeight="true" outlineLevel="0" collapsed="false">
      <c r="A8" s="10" t="s">
        <v>1242</v>
      </c>
      <c r="B8" s="10" t="n">
        <v>10</v>
      </c>
      <c r="C8" s="10" t="n">
        <v>14</v>
      </c>
      <c r="D8" s="10" t="n">
        <v>18</v>
      </c>
      <c r="E8" s="10" t="n">
        <v>24</v>
      </c>
      <c r="F8" s="1" t="n">
        <v>37</v>
      </c>
      <c r="G8" s="1" t="n">
        <v>47</v>
      </c>
      <c r="H8" s="1" t="n">
        <v>50</v>
      </c>
      <c r="I8" s="1" t="n">
        <v>50</v>
      </c>
      <c r="J8" s="111" t="n">
        <v>57</v>
      </c>
      <c r="K8" s="112" t="n">
        <v>64</v>
      </c>
      <c r="L8" s="112" t="n">
        <v>65</v>
      </c>
      <c r="M8" s="113" t="n">
        <v>66</v>
      </c>
      <c r="N8" s="1" t="n">
        <v>66</v>
      </c>
      <c r="O8" s="1" t="n">
        <v>66</v>
      </c>
      <c r="P8" s="1" t="n">
        <v>66</v>
      </c>
      <c r="Q8" s="1" t="n">
        <v>66</v>
      </c>
      <c r="R8" s="113" t="n">
        <v>66</v>
      </c>
      <c r="S8" s="113" t="n">
        <v>66</v>
      </c>
      <c r="T8" s="113" t="n">
        <v>66</v>
      </c>
      <c r="U8" s="113" t="n">
        <v>66</v>
      </c>
      <c r="V8" s="113" t="n">
        <v>66</v>
      </c>
      <c r="W8" s="111" t="n">
        <v>66</v>
      </c>
      <c r="X8" s="111" t="n">
        <v>70</v>
      </c>
      <c r="Y8" s="113" t="n">
        <v>70</v>
      </c>
      <c r="Z8" s="113" t="n">
        <v>74</v>
      </c>
      <c r="AA8" s="111" t="n">
        <v>76</v>
      </c>
    </row>
    <row r="9" customFormat="false" ht="15" hidden="false" customHeight="true" outlineLevel="0" collapsed="false">
      <c r="A9" s="1" t="s">
        <v>101</v>
      </c>
      <c r="B9" s="1" t="n">
        <v>8</v>
      </c>
      <c r="C9" s="1" t="n">
        <v>12</v>
      </c>
      <c r="D9" s="1" t="n">
        <v>18</v>
      </c>
      <c r="E9" s="1" t="n">
        <v>25</v>
      </c>
      <c r="F9" s="1" t="n">
        <v>27</v>
      </c>
      <c r="G9" s="1" t="n">
        <v>39</v>
      </c>
      <c r="H9" s="1" t="n">
        <v>42</v>
      </c>
      <c r="I9" s="1" t="n">
        <v>44</v>
      </c>
      <c r="J9" s="111" t="n">
        <v>51</v>
      </c>
      <c r="K9" s="112" t="n">
        <v>55</v>
      </c>
      <c r="L9" s="112" t="n">
        <v>63</v>
      </c>
      <c r="M9" s="113" t="n">
        <v>67</v>
      </c>
      <c r="N9" s="1" t="n">
        <v>75</v>
      </c>
      <c r="O9" s="1" t="n">
        <v>75</v>
      </c>
      <c r="P9" s="1" t="n">
        <v>70</v>
      </c>
      <c r="Q9" s="1" t="n">
        <v>71</v>
      </c>
      <c r="R9" s="113" t="n">
        <v>73</v>
      </c>
      <c r="S9" s="113" t="n">
        <v>73</v>
      </c>
      <c r="T9" s="113" t="n">
        <v>73</v>
      </c>
      <c r="U9" s="113" t="n">
        <v>73</v>
      </c>
      <c r="V9" s="113" t="n">
        <v>73</v>
      </c>
      <c r="W9" s="111" t="n">
        <v>73</v>
      </c>
      <c r="X9" s="111" t="n">
        <v>74</v>
      </c>
      <c r="Y9" s="113" t="n">
        <v>74</v>
      </c>
      <c r="Z9" s="113" t="n">
        <v>75</v>
      </c>
      <c r="AA9" s="111" t="n">
        <v>83</v>
      </c>
    </row>
    <row r="10" customFormat="false" ht="17.25" hidden="false" customHeight="true" outlineLevel="0" collapsed="false">
      <c r="A10" s="24" t="s">
        <v>1243</v>
      </c>
      <c r="B10" s="1" t="n">
        <v>18</v>
      </c>
      <c r="C10" s="1" t="n">
        <v>22</v>
      </c>
      <c r="D10" s="1" t="n">
        <v>26</v>
      </c>
      <c r="E10" s="1" t="n">
        <v>30</v>
      </c>
      <c r="F10" s="1" t="n">
        <v>32</v>
      </c>
      <c r="G10" s="1" t="n">
        <v>34</v>
      </c>
      <c r="H10" s="1" t="n">
        <v>26</v>
      </c>
      <c r="I10" s="1" t="n">
        <v>25</v>
      </c>
      <c r="J10" s="111" t="n">
        <v>28</v>
      </c>
      <c r="K10" s="112" t="n">
        <v>30</v>
      </c>
      <c r="L10" s="112" t="n">
        <v>30</v>
      </c>
      <c r="M10" s="113" t="n">
        <v>31</v>
      </c>
      <c r="N10" s="1" t="n">
        <v>31</v>
      </c>
      <c r="O10" s="1" t="n">
        <v>31</v>
      </c>
      <c r="P10" s="1" t="n">
        <v>31</v>
      </c>
      <c r="Q10" s="1" t="n">
        <v>31</v>
      </c>
      <c r="R10" s="113" t="n">
        <v>31</v>
      </c>
      <c r="S10" s="113" t="n">
        <v>31</v>
      </c>
      <c r="T10" s="113" t="n">
        <v>31</v>
      </c>
      <c r="U10" s="113" t="n">
        <v>31</v>
      </c>
      <c r="V10" s="113" t="n">
        <v>31</v>
      </c>
      <c r="W10" s="111" t="n">
        <v>31</v>
      </c>
      <c r="X10" s="111" t="n">
        <v>31</v>
      </c>
      <c r="Y10" s="113" t="n">
        <v>31</v>
      </c>
      <c r="Z10" s="113" t="n">
        <v>35</v>
      </c>
      <c r="AA10" s="111" t="n">
        <v>37</v>
      </c>
    </row>
    <row r="11" customFormat="false" ht="15" hidden="false" customHeight="true" outlineLevel="0" collapsed="false">
      <c r="A11" s="1" t="s">
        <v>1244</v>
      </c>
      <c r="B11" s="1" t="n">
        <v>4</v>
      </c>
      <c r="C11" s="1" t="n">
        <v>6</v>
      </c>
      <c r="D11" s="1" t="n">
        <v>8</v>
      </c>
      <c r="E11" s="1" t="n">
        <v>12</v>
      </c>
      <c r="F11" s="1" t="n">
        <v>18</v>
      </c>
      <c r="G11" s="1" t="n">
        <v>32</v>
      </c>
      <c r="H11" s="1" t="n">
        <v>38</v>
      </c>
      <c r="I11" s="1" t="n">
        <v>43</v>
      </c>
      <c r="J11" s="111" t="n">
        <v>48</v>
      </c>
      <c r="K11" s="112" t="n">
        <v>51</v>
      </c>
      <c r="L11" s="112" t="n">
        <v>51</v>
      </c>
      <c r="M11" s="113" t="n">
        <v>57</v>
      </c>
      <c r="N11" s="1" t="n">
        <v>62</v>
      </c>
      <c r="O11" s="1" t="n">
        <v>66</v>
      </c>
      <c r="P11" s="1" t="n">
        <v>68</v>
      </c>
      <c r="Q11" s="1" t="n">
        <v>72</v>
      </c>
      <c r="R11" s="113" t="n">
        <v>74</v>
      </c>
      <c r="S11" s="113" t="n">
        <v>74</v>
      </c>
      <c r="T11" s="113" t="n">
        <v>74</v>
      </c>
      <c r="U11" s="113" t="n">
        <v>74</v>
      </c>
      <c r="V11" s="113" t="n">
        <v>74</v>
      </c>
      <c r="W11" s="111" t="n">
        <v>74</v>
      </c>
      <c r="X11" s="111" t="n">
        <v>74</v>
      </c>
      <c r="Y11" s="113" t="n">
        <v>74</v>
      </c>
      <c r="Z11" s="113" t="n">
        <v>80</v>
      </c>
      <c r="AA11" s="111" t="n">
        <v>90</v>
      </c>
    </row>
    <row r="12" customFormat="false" ht="15" hidden="false" customHeight="true" outlineLevel="0" collapsed="false">
      <c r="A12" s="4" t="s">
        <v>1245</v>
      </c>
      <c r="B12" s="4" t="n">
        <v>0</v>
      </c>
      <c r="C12" s="4" t="n">
        <v>0</v>
      </c>
      <c r="D12" s="4" t="n">
        <v>0</v>
      </c>
      <c r="E12" s="4" t="n">
        <v>0</v>
      </c>
      <c r="F12" s="4" t="n">
        <v>22</v>
      </c>
      <c r="G12" s="1" t="n">
        <v>29</v>
      </c>
      <c r="H12" s="1" t="n">
        <v>37</v>
      </c>
      <c r="I12" s="1" t="n">
        <v>44</v>
      </c>
      <c r="J12" s="111" t="n">
        <v>51</v>
      </c>
      <c r="K12" s="112" t="n">
        <v>57</v>
      </c>
      <c r="L12" s="112" t="n">
        <v>63</v>
      </c>
      <c r="M12" s="113" t="n">
        <v>69</v>
      </c>
      <c r="P12" s="1" t="n">
        <v>73</v>
      </c>
      <c r="Q12" s="1" t="n">
        <v>77</v>
      </c>
      <c r="R12" s="113" t="n">
        <v>85</v>
      </c>
      <c r="S12" s="113" t="n">
        <v>99</v>
      </c>
      <c r="T12" s="113" t="n">
        <v>114</v>
      </c>
      <c r="U12" s="113" t="n">
        <v>139</v>
      </c>
      <c r="V12" s="113" t="n">
        <v>180</v>
      </c>
      <c r="W12" s="111" t="n">
        <v>180</v>
      </c>
      <c r="X12" s="111" t="n">
        <v>190</v>
      </c>
      <c r="Y12" s="113" t="n">
        <v>191</v>
      </c>
      <c r="Z12" s="113" t="n">
        <v>205</v>
      </c>
      <c r="AA12" s="111" t="n">
        <v>127</v>
      </c>
    </row>
    <row r="13" customFormat="false" ht="15" hidden="false" customHeight="true" outlineLevel="0" collapsed="false">
      <c r="A13" s="11" t="s">
        <v>1246</v>
      </c>
      <c r="B13" s="11"/>
      <c r="C13" s="11"/>
      <c r="D13" s="11"/>
      <c r="E13" s="11"/>
      <c r="F13" s="11"/>
      <c r="N13" s="1" t="n">
        <v>12</v>
      </c>
      <c r="O13" s="1" t="n">
        <v>12</v>
      </c>
      <c r="P13" s="1" t="n">
        <v>12</v>
      </c>
      <c r="Q13" s="1" t="n">
        <v>12</v>
      </c>
      <c r="R13" s="113" t="n">
        <v>12</v>
      </c>
      <c r="S13" s="113" t="n">
        <v>12</v>
      </c>
      <c r="T13" s="113" t="n">
        <v>12</v>
      </c>
      <c r="U13" s="113" t="n">
        <v>12</v>
      </c>
      <c r="V13" s="113" t="n">
        <v>12</v>
      </c>
      <c r="W13" s="111" t="n">
        <v>12</v>
      </c>
      <c r="X13" s="111" t="n">
        <v>12</v>
      </c>
      <c r="Y13" s="113" t="n">
        <v>12</v>
      </c>
      <c r="Z13" s="113" t="n">
        <v>12</v>
      </c>
      <c r="AA13" s="111" t="n">
        <v>12</v>
      </c>
    </row>
    <row r="14" customFormat="false" ht="15" hidden="false" customHeight="true" outlineLevel="0" collapsed="false">
      <c r="A14" s="114" t="s">
        <v>1247</v>
      </c>
      <c r="B14" s="102"/>
      <c r="C14" s="102"/>
      <c r="D14" s="102"/>
      <c r="E14" s="102"/>
      <c r="F14" s="102"/>
      <c r="N14" s="1" t="n">
        <v>75</v>
      </c>
      <c r="O14" s="1" t="n">
        <v>85</v>
      </c>
      <c r="P14" s="1" t="n">
        <v>89</v>
      </c>
      <c r="Q14" s="1" t="n">
        <v>93</v>
      </c>
      <c r="R14" s="113" t="n">
        <v>101</v>
      </c>
      <c r="S14" s="113" t="n">
        <v>115</v>
      </c>
      <c r="T14" s="113" t="n">
        <v>130</v>
      </c>
      <c r="U14" s="113" t="n">
        <v>155</v>
      </c>
      <c r="V14" s="113" t="n">
        <v>180</v>
      </c>
      <c r="W14" s="111" t="n">
        <v>180</v>
      </c>
      <c r="X14" s="111" t="n">
        <v>190</v>
      </c>
      <c r="Y14" s="113" t="n">
        <v>191</v>
      </c>
      <c r="Z14" s="113" t="n">
        <v>205</v>
      </c>
      <c r="AA14" s="111" t="n">
        <v>210</v>
      </c>
    </row>
    <row r="15" customFormat="false" ht="15" hidden="false" customHeight="true" outlineLevel="0" collapsed="false">
      <c r="A15" s="11" t="s">
        <v>1248</v>
      </c>
      <c r="B15" s="11"/>
      <c r="C15" s="11"/>
      <c r="D15" s="11"/>
      <c r="E15" s="11"/>
      <c r="F15" s="11"/>
      <c r="N15" s="1" t="n">
        <v>250</v>
      </c>
      <c r="O15" s="1" t="n">
        <v>280</v>
      </c>
      <c r="P15" s="1" t="n">
        <v>310</v>
      </c>
      <c r="Q15" s="1" t="n">
        <v>434</v>
      </c>
      <c r="R15" s="113" t="n">
        <v>844</v>
      </c>
      <c r="S15" s="113" t="n">
        <v>1763</v>
      </c>
      <c r="T15" s="113" t="n">
        <v>2534</v>
      </c>
      <c r="U15" s="113" t="n">
        <v>3808</v>
      </c>
      <c r="V15" s="113" t="n">
        <v>4676</v>
      </c>
      <c r="W15" s="111" t="n">
        <v>4676</v>
      </c>
      <c r="X15" s="111" t="n">
        <v>4817</v>
      </c>
      <c r="Y15" s="113" t="n">
        <v>4817</v>
      </c>
      <c r="Z15" s="113" t="n">
        <v>4900</v>
      </c>
      <c r="AA15" s="111" t="n">
        <v>2100</v>
      </c>
    </row>
    <row r="16" customFormat="false" ht="15" hidden="false" customHeight="true" outlineLevel="0" collapsed="false">
      <c r="A16" s="102" t="s">
        <v>1249</v>
      </c>
      <c r="B16" s="102" t="s">
        <v>931</v>
      </c>
      <c r="C16" s="102" t="s">
        <v>1250</v>
      </c>
      <c r="D16" s="102" t="s">
        <v>1251</v>
      </c>
      <c r="E16" s="102" t="s">
        <v>150</v>
      </c>
      <c r="F16" s="102"/>
      <c r="N16" s="1" t="n">
        <v>8</v>
      </c>
      <c r="O16" s="1" t="n">
        <v>8</v>
      </c>
      <c r="P16" s="1" t="n">
        <v>8</v>
      </c>
      <c r="Q16" s="1" t="n">
        <v>9</v>
      </c>
      <c r="R16" s="113" t="n">
        <v>12</v>
      </c>
      <c r="S16" s="113" t="n">
        <v>12</v>
      </c>
      <c r="T16" s="113" t="n">
        <v>12</v>
      </c>
      <c r="U16" s="113" t="n">
        <v>12</v>
      </c>
      <c r="V16" s="113" t="n">
        <v>12</v>
      </c>
      <c r="Y16" s="1" t="n">
        <v>12</v>
      </c>
      <c r="Z16" s="1" t="n">
        <v>12</v>
      </c>
    </row>
    <row r="17" customFormat="false" ht="15" hidden="false" customHeight="true" outlineLevel="0" collapsed="false">
      <c r="A17" s="10" t="s">
        <v>1252</v>
      </c>
      <c r="B17" s="10" t="s">
        <v>1253</v>
      </c>
      <c r="C17" s="10" t="n">
        <v>7</v>
      </c>
      <c r="D17" s="10" t="n">
        <v>1610</v>
      </c>
      <c r="E17" s="115" t="s">
        <v>263</v>
      </c>
      <c r="F17" s="10"/>
      <c r="N17" s="1" t="n">
        <v>4</v>
      </c>
      <c r="O17" s="1" t="n">
        <v>4</v>
      </c>
      <c r="P17" s="1" t="n">
        <v>4</v>
      </c>
      <c r="Q17" s="1" t="n">
        <v>4</v>
      </c>
      <c r="R17" s="113" t="n">
        <v>4</v>
      </c>
      <c r="S17" s="113" t="n">
        <v>4</v>
      </c>
      <c r="T17" s="113" t="n">
        <v>4</v>
      </c>
      <c r="U17" s="113" t="n">
        <v>4</v>
      </c>
      <c r="V17" s="113" t="n">
        <v>4</v>
      </c>
      <c r="Y17" s="1" t="n">
        <v>4</v>
      </c>
      <c r="Z17" s="1" t="n">
        <v>4</v>
      </c>
    </row>
    <row r="18" customFormat="false" ht="15" hidden="false" customHeight="true" outlineLevel="0" collapsed="false">
      <c r="A18" s="1" t="s">
        <v>1254</v>
      </c>
      <c r="B18" s="1" t="s">
        <v>1255</v>
      </c>
      <c r="C18" s="1" t="n">
        <v>3</v>
      </c>
      <c r="D18" s="1" t="n">
        <v>1572</v>
      </c>
      <c r="E18" s="116" t="s">
        <v>263</v>
      </c>
      <c r="N18" s="1" t="n">
        <v>10</v>
      </c>
      <c r="O18" s="1" t="n">
        <v>10</v>
      </c>
      <c r="P18" s="1" t="n">
        <v>10</v>
      </c>
      <c r="Q18" s="1" t="n">
        <v>10</v>
      </c>
      <c r="R18" s="113" t="n">
        <v>10</v>
      </c>
      <c r="S18" s="113" t="n">
        <v>10</v>
      </c>
      <c r="T18" s="113" t="n">
        <v>10</v>
      </c>
      <c r="U18" s="113" t="n">
        <v>10</v>
      </c>
      <c r="V18" s="113" t="n">
        <v>10</v>
      </c>
      <c r="Y18" s="1" t="n">
        <v>10</v>
      </c>
      <c r="Z18" s="1" t="n">
        <v>10</v>
      </c>
    </row>
    <row r="19" customFormat="false" ht="17.25" hidden="false" customHeight="true" outlineLevel="0" collapsed="false">
      <c r="A19" s="24" t="s">
        <v>1256</v>
      </c>
      <c r="B19" s="1" t="s">
        <v>1257</v>
      </c>
      <c r="C19" s="1" t="n">
        <v>5</v>
      </c>
      <c r="D19" s="1" t="n">
        <v>1817</v>
      </c>
      <c r="E19" s="116" t="s">
        <v>263</v>
      </c>
      <c r="N19" s="1" t="n">
        <v>8</v>
      </c>
      <c r="O19" s="1" t="n">
        <v>8</v>
      </c>
      <c r="P19" s="1" t="n">
        <v>8</v>
      </c>
      <c r="Q19" s="1" t="n">
        <v>8</v>
      </c>
      <c r="R19" s="113" t="n">
        <v>8</v>
      </c>
      <c r="S19" s="113" t="n">
        <v>8</v>
      </c>
      <c r="T19" s="113" t="n">
        <v>8</v>
      </c>
      <c r="U19" s="113" t="n">
        <v>8</v>
      </c>
      <c r="V19" s="113" t="n">
        <v>8</v>
      </c>
      <c r="Y19" s="1" t="n">
        <v>8</v>
      </c>
      <c r="Z19" s="1" t="n">
        <v>8</v>
      </c>
    </row>
    <row r="20" customFormat="false" ht="26.25" hidden="false" customHeight="true" outlineLevel="0" collapsed="false">
      <c r="A20" s="4" t="s">
        <v>372</v>
      </c>
      <c r="B20" s="4" t="s">
        <v>1258</v>
      </c>
      <c r="C20" s="4" t="n">
        <v>10</v>
      </c>
      <c r="D20" s="4" t="n">
        <v>3813</v>
      </c>
      <c r="E20" s="117" t="s">
        <v>263</v>
      </c>
      <c r="F20" s="4"/>
    </row>
    <row r="21" customFormat="false" ht="15" hidden="false" customHeight="true" outlineLevel="0" collapsed="false">
      <c r="A21" s="118" t="s">
        <v>307</v>
      </c>
      <c r="B21" s="8" t="s">
        <v>1259</v>
      </c>
      <c r="C21" s="8" t="n">
        <v>6</v>
      </c>
      <c r="D21" s="119" t="n">
        <v>2689</v>
      </c>
      <c r="E21" s="58" t="s">
        <v>263</v>
      </c>
      <c r="F21" s="118"/>
    </row>
    <row r="22" customFormat="false" ht="15" hidden="false" customHeight="true" outlineLevel="0" collapsed="false">
      <c r="A22" s="70" t="s">
        <v>316</v>
      </c>
      <c r="B22" s="12" t="s">
        <v>1260</v>
      </c>
      <c r="C22" s="12" t="n">
        <v>6</v>
      </c>
      <c r="D22" s="120" t="n">
        <v>3068</v>
      </c>
      <c r="E22" s="58" t="s">
        <v>263</v>
      </c>
      <c r="F22" s="49"/>
    </row>
    <row r="23" customFormat="false" ht="15" hidden="false" customHeight="true" outlineLevel="0" collapsed="false">
      <c r="A23" s="57" t="s">
        <v>262</v>
      </c>
      <c r="B23" s="8" t="s">
        <v>1261</v>
      </c>
      <c r="C23" s="8" t="n">
        <v>6</v>
      </c>
      <c r="D23" s="119" t="n">
        <v>2275</v>
      </c>
      <c r="E23" s="58" t="s">
        <v>263</v>
      </c>
      <c r="F23" s="118"/>
    </row>
    <row r="24" customFormat="false" ht="15" hidden="false" customHeight="true" outlineLevel="0" collapsed="false">
      <c r="A24" s="71" t="s">
        <v>811</v>
      </c>
      <c r="B24" s="12" t="s">
        <v>1262</v>
      </c>
      <c r="C24" s="12" t="n">
        <v>8</v>
      </c>
      <c r="D24" s="120" t="n">
        <v>5184</v>
      </c>
      <c r="E24" s="58" t="s">
        <v>263</v>
      </c>
      <c r="F24" s="49"/>
    </row>
    <row r="25" customFormat="false" ht="15" hidden="false" customHeight="true" outlineLevel="0" collapsed="false">
      <c r="A25" s="76" t="s">
        <v>739</v>
      </c>
      <c r="B25" s="8" t="s">
        <v>1263</v>
      </c>
      <c r="C25" s="8" t="n">
        <v>5</v>
      </c>
      <c r="D25" s="119" t="n">
        <v>1914</v>
      </c>
      <c r="E25" s="58" t="s">
        <v>263</v>
      </c>
      <c r="F25" s="118"/>
    </row>
    <row r="26" customFormat="false" ht="15" hidden="false" customHeight="true" outlineLevel="0" collapsed="false">
      <c r="A26" s="65"/>
      <c r="B26" s="12"/>
      <c r="C26" s="12"/>
      <c r="D26" s="120"/>
      <c r="E26" s="121"/>
      <c r="F26" s="49"/>
    </row>
    <row r="27" customFormat="false" ht="15" hidden="false" customHeight="true" outlineLevel="0" collapsed="false">
      <c r="A27" s="122" t="s">
        <v>1264</v>
      </c>
      <c r="B27" s="8"/>
      <c r="C27" s="8"/>
      <c r="D27" s="119"/>
      <c r="E27" s="123"/>
      <c r="F27" s="118"/>
    </row>
    <row r="28" customFormat="false" ht="15" hidden="false" customHeight="true" outlineLevel="0" collapsed="false">
      <c r="A28" s="124"/>
      <c r="B28" s="125"/>
      <c r="C28" s="125"/>
      <c r="D28" s="125"/>
      <c r="E28" s="125"/>
      <c r="F28" s="125"/>
    </row>
    <row r="29" customFormat="false" ht="15" hidden="false" customHeight="true" outlineLevel="0" collapsed="false">
      <c r="A29" s="126"/>
      <c r="B29" s="126"/>
      <c r="C29" s="126"/>
      <c r="D29" s="126"/>
      <c r="E29" s="126"/>
      <c r="F29" s="118"/>
    </row>
    <row r="30" customFormat="false" ht="15" hidden="false" customHeight="true" outlineLevel="0" collapsed="false">
      <c r="A30" s="103"/>
      <c r="B30" s="103"/>
      <c r="C30" s="103"/>
      <c r="D30" s="103"/>
      <c r="E30" s="103"/>
      <c r="F30" s="127"/>
    </row>
    <row r="31" customFormat="false" ht="15" hidden="false" customHeight="true" outlineLevel="0" collapsed="false">
      <c r="F31" s="128"/>
    </row>
    <row r="32" customFormat="false" ht="15" hidden="false" customHeight="true" outlineLevel="0" collapsed="false">
      <c r="F32" s="128"/>
    </row>
    <row r="33" customFormat="false" ht="15" hidden="false" customHeight="true" outlineLevel="0" collapsed="false">
      <c r="F33" s="128"/>
    </row>
    <row r="34" customFormat="false" ht="15" hidden="false" customHeight="true" outlineLevel="0" collapsed="false">
      <c r="F34" s="128"/>
    </row>
    <row r="36" customFormat="false" ht="15" hidden="false" customHeight="true" outlineLevel="0" collapsed="false">
      <c r="A36" s="1" t="s">
        <v>262</v>
      </c>
      <c r="B36" s="1" t="s">
        <v>1265</v>
      </c>
      <c r="C36" s="1" t="n">
        <v>4</v>
      </c>
      <c r="D36" s="1" t="n">
        <v>2469</v>
      </c>
      <c r="E36" s="1" t="s">
        <v>263</v>
      </c>
    </row>
    <row r="37" customFormat="false" ht="15" hidden="false" customHeight="true" outlineLevel="0" collapsed="false">
      <c r="A37" s="1" t="s">
        <v>811</v>
      </c>
      <c r="B37" s="1" t="s">
        <v>1266</v>
      </c>
      <c r="C37" s="1" t="n">
        <v>7</v>
      </c>
      <c r="D37" s="1" t="n">
        <v>4725</v>
      </c>
      <c r="E37" s="1" t="s">
        <v>263</v>
      </c>
    </row>
    <row r="38" customFormat="false" ht="15" hidden="false" customHeight="true" outlineLevel="0" collapsed="false">
      <c r="A38" s="1" t="s">
        <v>739</v>
      </c>
      <c r="B38" s="1" t="s">
        <v>1267</v>
      </c>
      <c r="C38" s="1" t="n">
        <v>5</v>
      </c>
      <c r="D38" s="1" t="n">
        <v>1628</v>
      </c>
      <c r="E38" s="1" t="s">
        <v>263</v>
      </c>
    </row>
    <row r="40" customFormat="false" ht="15.75" hidden="false" customHeight="true" outlineLevel="0" collapsed="false">
      <c r="A40" s="129" t="s">
        <v>1268</v>
      </c>
    </row>
    <row r="41" customFormat="false" ht="15" hidden="false" customHeight="true" outlineLevel="0" collapsed="false">
      <c r="A41" s="103"/>
    </row>
    <row r="42" customFormat="false" ht="15" hidden="false" customHeight="true" outlineLevel="0" collapsed="false">
      <c r="A42" s="130"/>
      <c r="B42" s="130"/>
      <c r="C42" s="130"/>
      <c r="D42" s="130"/>
      <c r="E42" s="130"/>
      <c r="F42" s="131"/>
    </row>
    <row r="43" customFormat="false" ht="15" hidden="false" customHeight="true" outlineLevel="0" collapsed="false">
      <c r="E43" s="132"/>
      <c r="F43" s="128"/>
    </row>
    <row r="44" customFormat="false" ht="15" hidden="false" customHeight="true" outlineLevel="0" collapsed="false">
      <c r="E44" s="132"/>
      <c r="F44" s="128"/>
    </row>
    <row r="45" customFormat="false" ht="15" hidden="false" customHeight="true" outlineLevel="0" collapsed="false">
      <c r="E45" s="132"/>
      <c r="F45" s="128"/>
    </row>
    <row r="46" customFormat="false" ht="15" hidden="false" customHeight="true" outlineLevel="0" collapsed="false">
      <c r="E46" s="132"/>
      <c r="F46" s="128"/>
    </row>
    <row r="47" customFormat="false" ht="15" hidden="false" customHeight="true" outlineLevel="0" collapsed="false">
      <c r="E47" s="132"/>
      <c r="F47" s="128"/>
    </row>
    <row r="48" customFormat="false" ht="15" hidden="false" customHeight="true" outlineLevel="0" collapsed="false">
      <c r="A48" s="1" t="s">
        <v>316</v>
      </c>
      <c r="B48" s="1" t="s">
        <v>1269</v>
      </c>
      <c r="C48" s="1" t="n">
        <v>6</v>
      </c>
      <c r="D48" s="1" t="n">
        <v>1566</v>
      </c>
      <c r="E48" s="132" t="s">
        <v>263</v>
      </c>
    </row>
    <row r="49" customFormat="false" ht="15" hidden="false" customHeight="true" outlineLevel="0" collapsed="false">
      <c r="A49" s="1" t="s">
        <v>262</v>
      </c>
      <c r="B49" s="1" t="s">
        <v>1270</v>
      </c>
      <c r="C49" s="1" t="n">
        <v>7</v>
      </c>
      <c r="D49" s="1" t="n">
        <v>2708</v>
      </c>
      <c r="E49" s="132" t="s">
        <v>263</v>
      </c>
    </row>
    <row r="50" customFormat="false" ht="15" hidden="false" customHeight="true" outlineLevel="0" collapsed="false">
      <c r="A50" s="1" t="s">
        <v>811</v>
      </c>
      <c r="B50" s="1" t="s">
        <v>1271</v>
      </c>
      <c r="C50" s="1" t="n">
        <v>7</v>
      </c>
      <c r="D50" s="1" t="n">
        <v>3930</v>
      </c>
      <c r="E50" s="132" t="s">
        <v>263</v>
      </c>
    </row>
    <row r="51" customFormat="false" ht="15" hidden="false" customHeight="true" outlineLevel="0" collapsed="false">
      <c r="A51" s="1" t="s">
        <v>739</v>
      </c>
      <c r="B51" s="1" t="s">
        <v>1272</v>
      </c>
      <c r="C51" s="1" t="n">
        <v>5</v>
      </c>
      <c r="D51" s="1" t="n">
        <v>2233</v>
      </c>
      <c r="E51" s="132" t="s">
        <v>263</v>
      </c>
    </row>
    <row r="53" customFormat="false" ht="15" hidden="false" customHeight="true" outlineLevel="0" collapsed="false">
      <c r="A53" s="79" t="s">
        <v>1273</v>
      </c>
      <c r="B53" s="80"/>
      <c r="C53" s="80"/>
      <c r="D53" s="80"/>
    </row>
    <row r="54" customFormat="false" ht="15.75" hidden="false" customHeight="true" outlineLevel="0" collapsed="false">
      <c r="A54" s="129"/>
    </row>
    <row r="55" customFormat="false" ht="15" hidden="false" customHeight="true" outlineLevel="0" collapsed="false">
      <c r="A55" s="133"/>
      <c r="B55" s="133"/>
      <c r="C55" s="133"/>
      <c r="D55" s="133"/>
      <c r="E55" s="130" t="s">
        <v>1274</v>
      </c>
      <c r="F55" s="130" t="s">
        <v>1275</v>
      </c>
    </row>
    <row r="56" customFormat="false" ht="15" hidden="false" customHeight="true" outlineLevel="0" collapsed="false">
      <c r="A56" s="81"/>
      <c r="B56" s="81"/>
      <c r="C56" s="134"/>
      <c r="D56" s="112"/>
      <c r="E56" s="1" t="n">
        <f aca="false">B56-C56-D56</f>
        <v>0</v>
      </c>
      <c r="F56" s="135" t="e">
        <f aca="false">C56/B56</f>
        <v>#DIV/0!</v>
      </c>
    </row>
    <row r="57" customFormat="false" ht="15" hidden="false" customHeight="true" outlineLevel="0" collapsed="false">
      <c r="A57" s="81"/>
      <c r="B57" s="81"/>
      <c r="C57" s="134"/>
      <c r="D57" s="112"/>
      <c r="E57" s="1" t="n">
        <f aca="false">B57-C57-D57</f>
        <v>0</v>
      </c>
      <c r="F57" s="135" t="e">
        <f aca="false">C57/B57</f>
        <v>#DIV/0!</v>
      </c>
    </row>
    <row r="58" customFormat="false" ht="15" hidden="false" customHeight="true" outlineLevel="0" collapsed="false">
      <c r="A58" s="81"/>
      <c r="B58" s="81"/>
      <c r="C58" s="134"/>
      <c r="D58" s="112"/>
      <c r="E58" s="1" t="n">
        <f aca="false">B58-C58-D58</f>
        <v>0</v>
      </c>
      <c r="F58" s="135" t="e">
        <f aca="false">C58/B58</f>
        <v>#DIV/0!</v>
      </c>
    </row>
    <row r="59" customFormat="false" ht="15" hidden="false" customHeight="true" outlineLevel="0" collapsed="false">
      <c r="A59" s="81"/>
      <c r="B59" s="81"/>
      <c r="C59" s="134"/>
      <c r="D59" s="112"/>
      <c r="E59" s="1" t="n">
        <f aca="false">B59-C59-D59</f>
        <v>0</v>
      </c>
      <c r="F59" s="135" t="e">
        <f aca="false">C59/B59</f>
        <v>#DIV/0!</v>
      </c>
    </row>
    <row r="60" customFormat="false" ht="15" hidden="false" customHeight="true" outlineLevel="0" collapsed="false">
      <c r="A60" s="81"/>
      <c r="B60" s="81"/>
      <c r="C60" s="134"/>
      <c r="D60" s="112"/>
      <c r="E60" s="1" t="n">
        <f aca="false">B60-C60-D60</f>
        <v>0</v>
      </c>
      <c r="F60" s="135" t="e">
        <f aca="false">C60/B60</f>
        <v>#DIV/0!</v>
      </c>
    </row>
    <row r="61" customFormat="false" ht="15" hidden="false" customHeight="true" outlineLevel="0" collapsed="false">
      <c r="A61" s="81" t="s">
        <v>316</v>
      </c>
      <c r="B61" s="81" t="s">
        <v>1276</v>
      </c>
      <c r="C61" s="134" t="n">
        <v>2</v>
      </c>
      <c r="D61" s="112" t="n">
        <v>600</v>
      </c>
    </row>
    <row r="62" customFormat="false" ht="15" hidden="false" customHeight="true" outlineLevel="0" collapsed="false">
      <c r="A62" s="81" t="s">
        <v>262</v>
      </c>
      <c r="B62" s="81" t="s">
        <v>1277</v>
      </c>
      <c r="C62" s="134" t="n">
        <v>5</v>
      </c>
      <c r="D62" s="112" t="n">
        <v>800</v>
      </c>
    </row>
    <row r="63" customFormat="false" ht="15" hidden="false" customHeight="true" outlineLevel="0" collapsed="false">
      <c r="A63" s="81" t="s">
        <v>811</v>
      </c>
      <c r="B63" s="81" t="s">
        <v>1278</v>
      </c>
      <c r="C63" s="134" t="n">
        <v>6</v>
      </c>
      <c r="D63" s="112" t="n">
        <v>1800</v>
      </c>
    </row>
    <row r="64" customFormat="false" ht="15" hidden="false" customHeight="true" outlineLevel="0" collapsed="false">
      <c r="A64" s="81" t="s">
        <v>739</v>
      </c>
      <c r="B64" s="81" t="s">
        <v>1279</v>
      </c>
      <c r="C64" s="134" t="n">
        <v>3</v>
      </c>
      <c r="D64" s="112" t="n">
        <v>900</v>
      </c>
    </row>
    <row r="66" customFormat="false" ht="15" hidden="false" customHeight="true" outlineLevel="0" collapsed="false">
      <c r="A66" s="79" t="s">
        <v>1280</v>
      </c>
      <c r="B66" s="80"/>
      <c r="C66" s="80"/>
      <c r="D66" s="80"/>
    </row>
    <row r="68" customFormat="false" ht="15" hidden="false" customHeight="true" outlineLevel="0" collapsed="false">
      <c r="A68" s="136" t="s">
        <v>1281</v>
      </c>
      <c r="B68" s="136" t="s">
        <v>931</v>
      </c>
      <c r="C68" s="136" t="s">
        <v>1250</v>
      </c>
      <c r="D68" s="136" t="s">
        <v>1251</v>
      </c>
    </row>
    <row r="69" customFormat="false" ht="15" hidden="false" customHeight="true" outlineLevel="0" collapsed="false">
      <c r="A69" s="81" t="s">
        <v>280</v>
      </c>
      <c r="B69" s="81" t="s">
        <v>1282</v>
      </c>
      <c r="C69" s="134" t="n">
        <v>10</v>
      </c>
      <c r="D69" s="112" t="n">
        <v>3100</v>
      </c>
    </row>
    <row r="70" customFormat="false" ht="15" hidden="false" customHeight="true" outlineLevel="0" collapsed="false">
      <c r="A70" s="81" t="s">
        <v>474</v>
      </c>
      <c r="B70" s="81" t="s">
        <v>1283</v>
      </c>
      <c r="C70" s="134" t="n">
        <v>1</v>
      </c>
      <c r="D70" s="112" t="n">
        <v>462</v>
      </c>
    </row>
    <row r="71" customFormat="false" ht="15" hidden="false" customHeight="true" outlineLevel="0" collapsed="false">
      <c r="A71" s="81" t="s">
        <v>414</v>
      </c>
      <c r="B71" s="81" t="s">
        <v>1284</v>
      </c>
      <c r="C71" s="134" t="n">
        <v>1</v>
      </c>
      <c r="D71" s="112" t="n">
        <v>701</v>
      </c>
    </row>
    <row r="72" customFormat="false" ht="15" hidden="false" customHeight="true" outlineLevel="0" collapsed="false">
      <c r="A72" s="81" t="s">
        <v>372</v>
      </c>
      <c r="B72" s="81" t="s">
        <v>1285</v>
      </c>
      <c r="C72" s="134" t="n">
        <v>6</v>
      </c>
      <c r="D72" s="112" t="n">
        <v>4300</v>
      </c>
    </row>
    <row r="73" customFormat="false" ht="15" hidden="false" customHeight="true" outlineLevel="0" collapsed="false">
      <c r="A73" s="81" t="s">
        <v>307</v>
      </c>
      <c r="B73" s="81" t="s">
        <v>1286</v>
      </c>
      <c r="C73" s="134" t="n">
        <v>9</v>
      </c>
      <c r="D73" s="112" t="n">
        <v>2439</v>
      </c>
    </row>
    <row r="74" customFormat="false" ht="15" hidden="false" customHeight="true" outlineLevel="0" collapsed="false">
      <c r="A74" s="81" t="s">
        <v>316</v>
      </c>
      <c r="B74" s="81" t="s">
        <v>1287</v>
      </c>
      <c r="C74" s="134" t="n">
        <v>6</v>
      </c>
      <c r="D74" s="112" t="n">
        <v>1397</v>
      </c>
    </row>
    <row r="75" customFormat="false" ht="15" hidden="false" customHeight="true" outlineLevel="0" collapsed="false">
      <c r="A75" s="81" t="s">
        <v>262</v>
      </c>
      <c r="B75" s="81" t="s">
        <v>1288</v>
      </c>
      <c r="C75" s="134" t="n">
        <v>4</v>
      </c>
      <c r="D75" s="112" t="n">
        <v>1660</v>
      </c>
    </row>
    <row r="76" customFormat="false" ht="15" hidden="false" customHeight="true" outlineLevel="0" collapsed="false">
      <c r="A76" s="81" t="s">
        <v>811</v>
      </c>
      <c r="B76" s="81" t="s">
        <v>1289</v>
      </c>
      <c r="C76" s="134" t="n">
        <v>6</v>
      </c>
      <c r="D76" s="112" t="n">
        <v>3194</v>
      </c>
    </row>
    <row r="77" customFormat="false" ht="15" hidden="false" customHeight="true" outlineLevel="0" collapsed="false">
      <c r="A77" s="81" t="s">
        <v>739</v>
      </c>
      <c r="B77" s="81" t="s">
        <v>1290</v>
      </c>
      <c r="C77" s="134" t="n">
        <v>2</v>
      </c>
      <c r="D77" s="112" t="n">
        <v>800</v>
      </c>
    </row>
    <row r="79" customFormat="false" ht="15" hidden="false" customHeight="true" outlineLevel="0" collapsed="false">
      <c r="A79" s="79" t="s">
        <v>1291</v>
      </c>
      <c r="B79" s="80"/>
      <c r="C79" s="80"/>
      <c r="D79" s="80"/>
    </row>
    <row r="80" customFormat="false" ht="15" hidden="false" customHeight="true" outlineLevel="0" collapsed="false">
      <c r="A80" s="136" t="s">
        <v>928</v>
      </c>
      <c r="B80" s="136" t="s">
        <v>13</v>
      </c>
      <c r="C80" s="136" t="n">
        <v>31</v>
      </c>
      <c r="D80" s="136" t="s">
        <v>1292</v>
      </c>
    </row>
    <row r="81" customFormat="false" ht="15" hidden="false" customHeight="true" outlineLevel="0" collapsed="false">
      <c r="A81" s="81" t="s">
        <v>1293</v>
      </c>
      <c r="B81" s="134" t="n">
        <v>43</v>
      </c>
      <c r="C81" s="134" t="n">
        <v>66</v>
      </c>
      <c r="D81" s="134" t="s">
        <v>1294</v>
      </c>
    </row>
    <row r="82" customFormat="false" ht="15" hidden="false" customHeight="true" outlineLevel="0" collapsed="false">
      <c r="A82" s="81" t="s">
        <v>1295</v>
      </c>
      <c r="B82" s="134" t="n">
        <v>39</v>
      </c>
      <c r="C82" s="134" t="n">
        <v>67</v>
      </c>
      <c r="D82" s="134" t="s">
        <v>1296</v>
      </c>
    </row>
    <row r="83" customFormat="false" ht="15" hidden="false" customHeight="true" outlineLevel="0" collapsed="false">
      <c r="A83" s="81" t="s">
        <v>1297</v>
      </c>
      <c r="B83" s="134" t="n">
        <v>40</v>
      </c>
      <c r="C83" s="134" t="n">
        <v>63</v>
      </c>
      <c r="D83" s="134" t="s">
        <v>1298</v>
      </c>
    </row>
    <row r="84" customFormat="false" ht="15" hidden="false" customHeight="true" outlineLevel="0" collapsed="false">
      <c r="A84" s="81" t="s">
        <v>1299</v>
      </c>
      <c r="B84" s="134" t="n">
        <v>24</v>
      </c>
      <c r="C84" s="134" t="n">
        <v>38</v>
      </c>
      <c r="D84" s="134" t="s">
        <v>1300</v>
      </c>
    </row>
    <row r="85" customFormat="false" ht="15" hidden="false" customHeight="true" outlineLevel="0" collapsed="false">
      <c r="A85" s="81" t="s">
        <v>1301</v>
      </c>
      <c r="B85" s="134" t="n">
        <v>42</v>
      </c>
      <c r="C85" s="134" t="n">
        <v>35</v>
      </c>
      <c r="D85" s="134" t="s">
        <v>1302</v>
      </c>
    </row>
    <row r="87" customFormat="false" ht="15" hidden="false" customHeight="true" outlineLevel="0" collapsed="false">
      <c r="A87" s="79" t="s">
        <v>1303</v>
      </c>
      <c r="B87" s="80"/>
      <c r="C87" s="80"/>
      <c r="D87" s="80"/>
    </row>
    <row r="89" customFormat="false" ht="15" hidden="false" customHeight="true" outlineLevel="0" collapsed="false">
      <c r="A89" s="136" t="s">
        <v>1281</v>
      </c>
      <c r="B89" s="136" t="s">
        <v>931</v>
      </c>
      <c r="C89" s="136" t="s">
        <v>1304</v>
      </c>
      <c r="D89" s="136" t="s">
        <v>928</v>
      </c>
    </row>
    <row r="90" customFormat="false" ht="15" hidden="false" customHeight="true" outlineLevel="0" collapsed="false">
      <c r="A90" s="81" t="s">
        <v>280</v>
      </c>
      <c r="B90" s="81" t="s">
        <v>1305</v>
      </c>
      <c r="C90" s="134" t="s">
        <v>761</v>
      </c>
      <c r="D90" s="134" t="s">
        <v>17</v>
      </c>
    </row>
    <row r="91" customFormat="false" ht="15" hidden="false" customHeight="true" outlineLevel="0" collapsed="false">
      <c r="A91" s="81" t="s">
        <v>474</v>
      </c>
      <c r="B91" s="81" t="s">
        <v>1306</v>
      </c>
      <c r="C91" s="134" t="s">
        <v>34</v>
      </c>
      <c r="D91" s="134" t="s">
        <v>1307</v>
      </c>
    </row>
    <row r="92" customFormat="false" ht="15" hidden="false" customHeight="true" outlineLevel="0" collapsed="false">
      <c r="A92" s="81" t="s">
        <v>414</v>
      </c>
      <c r="B92" s="81" t="s">
        <v>1308</v>
      </c>
      <c r="C92" s="134" t="s">
        <v>34</v>
      </c>
      <c r="D92" s="134" t="s">
        <v>1307</v>
      </c>
    </row>
    <row r="93" customFormat="false" ht="15" hidden="false" customHeight="true" outlineLevel="0" collapsed="false">
      <c r="A93" s="81" t="s">
        <v>372</v>
      </c>
      <c r="B93" s="81" t="s">
        <v>1309</v>
      </c>
      <c r="C93" s="134" t="s">
        <v>761</v>
      </c>
      <c r="D93" s="134" t="s">
        <v>304</v>
      </c>
    </row>
    <row r="94" customFormat="false" ht="15" hidden="false" customHeight="true" outlineLevel="0" collapsed="false">
      <c r="A94" s="81" t="s">
        <v>307</v>
      </c>
      <c r="B94" s="81" t="s">
        <v>1310</v>
      </c>
      <c r="C94" s="134" t="s">
        <v>1173</v>
      </c>
      <c r="D94" s="134" t="s">
        <v>1311</v>
      </c>
    </row>
    <row r="95" customFormat="false" ht="15" hidden="false" customHeight="true" outlineLevel="0" collapsed="false">
      <c r="A95" s="81" t="s">
        <v>316</v>
      </c>
      <c r="B95" s="81" t="s">
        <v>1312</v>
      </c>
      <c r="C95" s="134" t="s">
        <v>34</v>
      </c>
      <c r="D95" s="134" t="s">
        <v>1307</v>
      </c>
    </row>
    <row r="96" customFormat="false" ht="15" hidden="false" customHeight="true" outlineLevel="0" collapsed="false">
      <c r="A96" s="81" t="s">
        <v>262</v>
      </c>
      <c r="B96" s="81" t="s">
        <v>1313</v>
      </c>
      <c r="C96" s="134" t="s">
        <v>761</v>
      </c>
      <c r="D96" s="134" t="s">
        <v>1311</v>
      </c>
    </row>
    <row r="97" customFormat="false" ht="15" hidden="false" customHeight="true" outlineLevel="0" collapsed="false">
      <c r="A97" s="81" t="s">
        <v>811</v>
      </c>
      <c r="B97" s="81" t="s">
        <v>1314</v>
      </c>
      <c r="C97" s="134" t="s">
        <v>909</v>
      </c>
      <c r="D97" s="134" t="s">
        <v>1315</v>
      </c>
    </row>
    <row r="98" customFormat="false" ht="15" hidden="false" customHeight="true" outlineLevel="0" collapsed="false">
      <c r="A98" s="81" t="s">
        <v>739</v>
      </c>
      <c r="B98" s="81" t="s">
        <v>1316</v>
      </c>
      <c r="C98" s="134" t="s">
        <v>304</v>
      </c>
      <c r="D98" s="134" t="s">
        <v>786</v>
      </c>
    </row>
    <row r="100" customFormat="false" ht="15" hidden="false" customHeight="true" outlineLevel="0" collapsed="false">
      <c r="A100" s="137" t="s">
        <v>1317</v>
      </c>
    </row>
    <row r="102" customFormat="false" ht="15" hidden="false" customHeight="true" outlineLevel="0" collapsed="false">
      <c r="A102" s="107" t="s">
        <v>1281</v>
      </c>
      <c r="B102" s="107" t="s">
        <v>931</v>
      </c>
      <c r="C102" s="107" t="s">
        <v>1250</v>
      </c>
      <c r="D102" s="107" t="s">
        <v>1251</v>
      </c>
      <c r="E102" s="107" t="s">
        <v>150</v>
      </c>
    </row>
    <row r="103" customFormat="false" ht="15" hidden="false" customHeight="true" outlineLevel="0" collapsed="false">
      <c r="A103" s="1" t="s">
        <v>280</v>
      </c>
      <c r="B103" s="1" t="s">
        <v>1318</v>
      </c>
      <c r="C103" s="113" t="n">
        <v>7</v>
      </c>
      <c r="D103" s="113" t="n">
        <v>2873</v>
      </c>
      <c r="E103" s="138" t="s">
        <v>263</v>
      </c>
    </row>
    <row r="104" customFormat="false" ht="15" hidden="false" customHeight="true" outlineLevel="0" collapsed="false">
      <c r="A104" s="1" t="s">
        <v>474</v>
      </c>
      <c r="B104" s="1" t="s">
        <v>1319</v>
      </c>
      <c r="C104" s="113" t="n">
        <v>9</v>
      </c>
      <c r="D104" s="113" t="n">
        <v>546</v>
      </c>
      <c r="E104" s="138" t="s">
        <v>263</v>
      </c>
    </row>
    <row r="105" customFormat="false" ht="15" hidden="false" customHeight="true" outlineLevel="0" collapsed="false">
      <c r="A105" s="1" t="s">
        <v>414</v>
      </c>
      <c r="B105" s="1" t="s">
        <v>1320</v>
      </c>
      <c r="C105" s="113" t="n">
        <v>8</v>
      </c>
      <c r="D105" s="113" t="n">
        <v>866</v>
      </c>
      <c r="E105" s="138" t="s">
        <v>263</v>
      </c>
    </row>
    <row r="106" customFormat="false" ht="15" hidden="false" customHeight="true" outlineLevel="0" collapsed="false">
      <c r="A106" s="1" t="s">
        <v>372</v>
      </c>
      <c r="B106" s="1" t="s">
        <v>1321</v>
      </c>
      <c r="C106" s="113" t="n">
        <v>4</v>
      </c>
      <c r="D106" s="113" t="n">
        <v>1348</v>
      </c>
      <c r="E106" s="138" t="s">
        <v>263</v>
      </c>
    </row>
    <row r="107" customFormat="false" ht="15" hidden="false" customHeight="true" outlineLevel="0" collapsed="false">
      <c r="A107" s="1" t="s">
        <v>307</v>
      </c>
      <c r="B107" s="1" t="s">
        <v>1322</v>
      </c>
      <c r="C107" s="113" t="n">
        <v>8</v>
      </c>
      <c r="D107" s="113" t="n">
        <v>2186</v>
      </c>
      <c r="E107" s="138" t="s">
        <v>263</v>
      </c>
    </row>
    <row r="108" customFormat="false" ht="15" hidden="false" customHeight="true" outlineLevel="0" collapsed="false">
      <c r="A108" s="1" t="s">
        <v>316</v>
      </c>
      <c r="B108" s="1" t="s">
        <v>1323</v>
      </c>
      <c r="C108" s="113" t="n">
        <v>5</v>
      </c>
      <c r="D108" s="113" t="n">
        <v>1255</v>
      </c>
      <c r="E108" s="138" t="s">
        <v>263</v>
      </c>
    </row>
    <row r="109" customFormat="false" ht="15" hidden="false" customHeight="true" outlineLevel="0" collapsed="false">
      <c r="A109" s="1" t="s">
        <v>262</v>
      </c>
      <c r="B109" s="1" t="s">
        <v>1324</v>
      </c>
      <c r="C109" s="113" t="n">
        <v>5</v>
      </c>
      <c r="D109" s="113" t="n">
        <v>1208</v>
      </c>
      <c r="E109" s="138" t="s">
        <v>263</v>
      </c>
    </row>
    <row r="110" customFormat="false" ht="15" hidden="false" customHeight="true" outlineLevel="0" collapsed="false">
      <c r="A110" s="1" t="s">
        <v>811</v>
      </c>
      <c r="B110" s="1" t="s">
        <v>1325</v>
      </c>
      <c r="C110" s="113" t="n">
        <v>6</v>
      </c>
      <c r="D110" s="113" t="n">
        <v>2183</v>
      </c>
      <c r="E110" s="138" t="s">
        <v>263</v>
      </c>
    </row>
    <row r="111" customFormat="false" ht="15" hidden="false" customHeight="true" outlineLevel="0" collapsed="false">
      <c r="A111" s="1" t="s">
        <v>739</v>
      </c>
      <c r="B111" s="1" t="s">
        <v>1326</v>
      </c>
      <c r="C111" s="113" t="n">
        <v>4</v>
      </c>
      <c r="D111" s="113" t="n">
        <v>1884</v>
      </c>
      <c r="E111" s="138" t="s">
        <v>263</v>
      </c>
    </row>
    <row r="113" customFormat="false" ht="15" hidden="false" customHeight="true" outlineLevel="0" collapsed="false">
      <c r="A113" s="139" t="s">
        <v>1096</v>
      </c>
    </row>
    <row r="115" customFormat="false" ht="15" hidden="false" customHeight="true" outlineLevel="0" collapsed="false">
      <c r="A115" s="107" t="s">
        <v>1281</v>
      </c>
      <c r="B115" s="107" t="s">
        <v>931</v>
      </c>
      <c r="C115" s="107" t="s">
        <v>1304</v>
      </c>
      <c r="D115" s="107" t="s">
        <v>928</v>
      </c>
    </row>
    <row r="116" customFormat="false" ht="15" hidden="false" customHeight="true" outlineLevel="0" collapsed="false">
      <c r="A116" s="1" t="s">
        <v>280</v>
      </c>
      <c r="B116" s="1" t="s">
        <v>1327</v>
      </c>
      <c r="C116" s="1" t="s">
        <v>1115</v>
      </c>
      <c r="D116" s="1" t="s">
        <v>1328</v>
      </c>
    </row>
    <row r="117" customFormat="false" ht="15" hidden="false" customHeight="true" outlineLevel="0" collapsed="false">
      <c r="A117" s="1" t="s">
        <v>474</v>
      </c>
      <c r="B117" s="1" t="s">
        <v>1329</v>
      </c>
      <c r="C117" s="1" t="s">
        <v>1330</v>
      </c>
      <c r="D117" s="1" t="s">
        <v>1307</v>
      </c>
    </row>
    <row r="118" customFormat="false" ht="15" hidden="false" customHeight="true" outlineLevel="0" collapsed="false">
      <c r="A118" s="1" t="s">
        <v>414</v>
      </c>
      <c r="B118" s="1" t="s">
        <v>1331</v>
      </c>
      <c r="C118" s="1" t="s">
        <v>1330</v>
      </c>
      <c r="D118" s="1" t="s">
        <v>1307</v>
      </c>
    </row>
    <row r="119" customFormat="false" ht="15" hidden="false" customHeight="true" outlineLevel="0" collapsed="false">
      <c r="A119" s="1" t="s">
        <v>316</v>
      </c>
      <c r="B119" s="1" t="s">
        <v>1332</v>
      </c>
      <c r="C119" s="1" t="s">
        <v>1110</v>
      </c>
      <c r="D119" s="1" t="s">
        <v>304</v>
      </c>
    </row>
    <row r="120" customFormat="false" ht="15" hidden="false" customHeight="true" outlineLevel="0" collapsed="false">
      <c r="A120" s="1" t="s">
        <v>372</v>
      </c>
      <c r="B120" s="1" t="s">
        <v>1333</v>
      </c>
      <c r="C120" s="1" t="s">
        <v>1143</v>
      </c>
      <c r="D120" s="1" t="s">
        <v>1311</v>
      </c>
    </row>
    <row r="121" customFormat="false" ht="15" hidden="false" customHeight="true" outlineLevel="0" collapsed="false">
      <c r="A121" s="1" t="s">
        <v>307</v>
      </c>
      <c r="B121" s="1" t="s">
        <v>1334</v>
      </c>
      <c r="C121" s="1" t="s">
        <v>1139</v>
      </c>
      <c r="D121" s="1" t="s">
        <v>1307</v>
      </c>
    </row>
    <row r="122" customFormat="false" ht="15" hidden="false" customHeight="true" outlineLevel="0" collapsed="false">
      <c r="A122" s="1" t="s">
        <v>262</v>
      </c>
      <c r="B122" s="1" t="s">
        <v>1335</v>
      </c>
      <c r="C122" s="1" t="s">
        <v>1115</v>
      </c>
      <c r="D122" s="1" t="s">
        <v>1299</v>
      </c>
    </row>
    <row r="123" customFormat="false" ht="15" hidden="false" customHeight="true" outlineLevel="0" collapsed="false">
      <c r="A123" s="1" t="s">
        <v>811</v>
      </c>
      <c r="B123" s="1" t="s">
        <v>1336</v>
      </c>
      <c r="C123" s="1" t="s">
        <v>1113</v>
      </c>
      <c r="D123" s="1" t="s">
        <v>1315</v>
      </c>
    </row>
    <row r="124" customFormat="false" ht="15" hidden="false" customHeight="true" outlineLevel="0" collapsed="false">
      <c r="A124" s="1" t="s">
        <v>739</v>
      </c>
      <c r="B124" s="1" t="s">
        <v>1337</v>
      </c>
      <c r="C124" s="1" t="s">
        <v>1338</v>
      </c>
      <c r="D124" s="1" t="s">
        <v>786</v>
      </c>
    </row>
    <row r="125" customFormat="false" ht="15" hidden="false" customHeight="true" outlineLevel="0" collapsed="false">
      <c r="A125" s="103" t="s">
        <v>64</v>
      </c>
      <c r="B125" s="103" t="s">
        <v>1339</v>
      </c>
      <c r="C125" s="103" t="s">
        <v>1340</v>
      </c>
      <c r="D125" s="103" t="s">
        <v>1341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2" min="1" style="1" width="28"/>
    <col collapsed="false" customWidth="true" hidden="false" outlineLevel="0" max="3" min="3" style="1" width="18"/>
    <col collapsed="false" customWidth="true" hidden="false" outlineLevel="0" max="4" min="4" style="1" width="55"/>
    <col collapsed="false" customWidth="true" hidden="false" outlineLevel="0" max="5" min="5" style="1" width="50"/>
    <col collapsed="false" customWidth="true" hidden="false" outlineLevel="0" max="6" min="6" style="1" width="10"/>
    <col collapsed="false" customWidth="true" hidden="false" outlineLevel="0" max="7" min="7" style="1" width="15"/>
  </cols>
  <sheetData>
    <row r="1" customFormat="false" ht="17.25" hidden="false" customHeight="true" outlineLevel="0" collapsed="false">
      <c r="A1" s="140" t="s">
        <v>1342</v>
      </c>
      <c r="B1" s="140"/>
      <c r="C1" s="140"/>
      <c r="D1" s="140"/>
      <c r="E1" s="140"/>
      <c r="F1" s="140"/>
      <c r="G1" s="140"/>
    </row>
    <row r="2" customFormat="false" ht="15" hidden="false" customHeight="true" outlineLevel="0" collapsed="false">
      <c r="A2" s="141" t="s">
        <v>1343</v>
      </c>
      <c r="B2" s="141"/>
      <c r="C2" s="141"/>
      <c r="D2" s="141"/>
      <c r="E2" s="141"/>
      <c r="F2" s="141"/>
      <c r="G2" s="141"/>
    </row>
    <row r="3" customFormat="false" ht="15" hidden="false" customHeight="false" outlineLevel="0" collapsed="false">
      <c r="A3" s="142" t="s">
        <v>1344</v>
      </c>
    </row>
    <row r="4" customFormat="false" ht="15" hidden="false" customHeight="true" outlineLevel="0" collapsed="false">
      <c r="A4" s="143" t="s">
        <v>1345</v>
      </c>
      <c r="B4" s="1" t="s">
        <v>1346</v>
      </c>
    </row>
    <row r="5" customFormat="false" ht="15" hidden="false" customHeight="true" outlineLevel="0" collapsed="false">
      <c r="A5" s="144" t="s">
        <v>333</v>
      </c>
      <c r="B5" s="144"/>
      <c r="C5" s="144"/>
      <c r="D5" s="144"/>
      <c r="E5" s="144"/>
      <c r="F5" s="144"/>
      <c r="G5" s="144"/>
    </row>
    <row r="6" customFormat="false" ht="15" hidden="false" customHeight="false" outlineLevel="0" collapsed="false">
      <c r="A6" s="1" t="s">
        <v>1347</v>
      </c>
      <c r="B6" s="1" t="s">
        <v>1348</v>
      </c>
    </row>
    <row r="7" customFormat="false" ht="15" hidden="false" customHeight="true" outlineLevel="0" collapsed="false">
      <c r="A7" s="145" t="s">
        <v>1349</v>
      </c>
      <c r="B7" s="145" t="s">
        <v>1350</v>
      </c>
      <c r="C7" s="145" t="s">
        <v>1351</v>
      </c>
      <c r="D7" s="145" t="s">
        <v>1352</v>
      </c>
      <c r="E7" s="145" t="s">
        <v>150</v>
      </c>
    </row>
    <row r="8" customFormat="false" ht="15" hidden="false" customHeight="true" outlineLevel="0" collapsed="false">
      <c r="A8" s="146" t="s">
        <v>1353</v>
      </c>
      <c r="B8" s="146" t="s">
        <v>1354</v>
      </c>
      <c r="C8" s="146" t="s">
        <v>1355</v>
      </c>
      <c r="D8" s="146" t="s">
        <v>1356</v>
      </c>
      <c r="E8" s="147" t="s">
        <v>1357</v>
      </c>
    </row>
    <row r="9" customFormat="false" ht="15" hidden="false" customHeight="true" outlineLevel="0" collapsed="false">
      <c r="A9" s="146" t="s">
        <v>1358</v>
      </c>
      <c r="B9" s="146" t="s">
        <v>1359</v>
      </c>
      <c r="C9" s="146" t="s">
        <v>813</v>
      </c>
      <c r="D9" s="146" t="s">
        <v>1360</v>
      </c>
      <c r="E9" s="148" t="s">
        <v>1361</v>
      </c>
    </row>
    <row r="10" customFormat="false" ht="15" hidden="false" customHeight="true" outlineLevel="0" collapsed="false">
      <c r="A10" s="146" t="s">
        <v>1362</v>
      </c>
      <c r="B10" s="146" t="s">
        <v>1363</v>
      </c>
      <c r="C10" s="146" t="s">
        <v>1364</v>
      </c>
      <c r="D10" s="146" t="s">
        <v>1365</v>
      </c>
      <c r="E10" s="148" t="s">
        <v>1361</v>
      </c>
    </row>
    <row r="11" customFormat="false" ht="15" hidden="false" customHeight="false" outlineLevel="0" collapsed="false">
      <c r="A11" s="1" t="s">
        <v>1366</v>
      </c>
      <c r="B11" s="1" t="s">
        <v>1367</v>
      </c>
    </row>
    <row r="13" customFormat="false" ht="15" hidden="false" customHeight="true" outlineLevel="0" collapsed="false">
      <c r="A13" s="143" t="s">
        <v>1368</v>
      </c>
    </row>
    <row r="14" customFormat="false" ht="15" hidden="false" customHeight="true" outlineLevel="0" collapsed="false">
      <c r="A14" s="149" t="s">
        <v>1369</v>
      </c>
      <c r="B14" s="149" t="s">
        <v>1370</v>
      </c>
      <c r="C14" s="149" t="s">
        <v>1371</v>
      </c>
      <c r="D14" s="149" t="s">
        <v>1372</v>
      </c>
    </row>
    <row r="15" customFormat="false" ht="15" hidden="false" customHeight="true" outlineLevel="0" collapsed="false">
      <c r="A15" s="146" t="s">
        <v>1373</v>
      </c>
      <c r="B15" s="146" t="s">
        <v>1374</v>
      </c>
      <c r="C15" s="146" t="s">
        <v>1374</v>
      </c>
      <c r="D15" s="150" t="s">
        <v>1375</v>
      </c>
    </row>
    <row r="16" customFormat="false" ht="15" hidden="false" customHeight="true" outlineLevel="0" collapsed="false">
      <c r="A16" s="146" t="s">
        <v>1376</v>
      </c>
      <c r="B16" s="146" t="s">
        <v>1377</v>
      </c>
      <c r="C16" s="146" t="s">
        <v>1374</v>
      </c>
      <c r="D16" s="150" t="s">
        <v>1378</v>
      </c>
    </row>
    <row r="17" customFormat="false" ht="15" hidden="false" customHeight="true" outlineLevel="0" collapsed="false">
      <c r="A17" s="146" t="s">
        <v>1379</v>
      </c>
      <c r="B17" s="146" t="s">
        <v>1374</v>
      </c>
      <c r="C17" s="146" t="s">
        <v>1374</v>
      </c>
      <c r="D17" s="150" t="s">
        <v>1380</v>
      </c>
    </row>
    <row r="18" customFormat="false" ht="15" hidden="false" customHeight="true" outlineLevel="0" collapsed="false">
      <c r="A18" s="146" t="s">
        <v>1381</v>
      </c>
      <c r="B18" s="146" t="s">
        <v>1374</v>
      </c>
      <c r="C18" s="146" t="s">
        <v>1374</v>
      </c>
      <c r="D18" s="150" t="s">
        <v>1382</v>
      </c>
    </row>
    <row r="19" customFormat="false" ht="15" hidden="false" customHeight="true" outlineLevel="0" collapsed="false">
      <c r="A19" s="146" t="s">
        <v>1383</v>
      </c>
      <c r="B19" s="146" t="s">
        <v>1384</v>
      </c>
      <c r="C19" s="146" t="s">
        <v>1385</v>
      </c>
      <c r="D19" s="151" t="s">
        <v>1386</v>
      </c>
    </row>
    <row r="20" customFormat="false" ht="15" hidden="false" customHeight="true" outlineLevel="0" collapsed="false">
      <c r="A20" s="146" t="s">
        <v>813</v>
      </c>
      <c r="B20" s="146" t="s">
        <v>1387</v>
      </c>
      <c r="C20" s="146" t="s">
        <v>1388</v>
      </c>
      <c r="D20" s="152" t="s">
        <v>1389</v>
      </c>
    </row>
    <row r="21" customFormat="false" ht="15" hidden="false" customHeight="true" outlineLevel="0" collapsed="false">
      <c r="A21" s="146" t="s">
        <v>1390</v>
      </c>
      <c r="B21" s="146" t="s">
        <v>1391</v>
      </c>
      <c r="C21" s="146" t="s">
        <v>1392</v>
      </c>
      <c r="D21" s="152" t="s">
        <v>1393</v>
      </c>
    </row>
    <row r="22" customFormat="false" ht="15" hidden="false" customHeight="true" outlineLevel="0" collapsed="false">
      <c r="A22" s="146" t="s">
        <v>1394</v>
      </c>
      <c r="B22" s="146" t="s">
        <v>1391</v>
      </c>
      <c r="C22" s="146" t="s">
        <v>1395</v>
      </c>
      <c r="D22" s="152" t="s">
        <v>1393</v>
      </c>
    </row>
    <row r="23" customFormat="false" ht="15" hidden="false" customHeight="true" outlineLevel="0" collapsed="false">
      <c r="A23" s="146" t="s">
        <v>1396</v>
      </c>
      <c r="B23" s="146" t="s">
        <v>1397</v>
      </c>
      <c r="C23" s="146" t="s">
        <v>1398</v>
      </c>
      <c r="D23" s="152" t="s">
        <v>1399</v>
      </c>
    </row>
    <row r="26" customFormat="false" ht="15" hidden="false" customHeight="true" outlineLevel="0" collapsed="false">
      <c r="A26" s="143" t="s">
        <v>1400</v>
      </c>
    </row>
    <row r="27" customFormat="false" ht="15" hidden="false" customHeight="true" outlineLevel="0" collapsed="false">
      <c r="A27" s="153" t="s">
        <v>2</v>
      </c>
      <c r="B27" s="153" t="s">
        <v>1401</v>
      </c>
      <c r="C27" s="153" t="s">
        <v>5</v>
      </c>
      <c r="D27" s="153" t="s">
        <v>1402</v>
      </c>
      <c r="E27" s="153" t="s">
        <v>931</v>
      </c>
      <c r="F27" s="153" t="s">
        <v>926</v>
      </c>
      <c r="G27" s="153" t="s">
        <v>150</v>
      </c>
    </row>
    <row r="28" customFormat="false" ht="15" hidden="false" customHeight="true" outlineLevel="0" collapsed="false">
      <c r="A28" s="146" t="n">
        <v>1</v>
      </c>
      <c r="B28" s="146" t="s">
        <v>280</v>
      </c>
      <c r="C28" s="146" t="s">
        <v>17</v>
      </c>
      <c r="D28" s="146" t="s">
        <v>1403</v>
      </c>
      <c r="E28" s="146" t="s">
        <v>1404</v>
      </c>
      <c r="F28" s="146" t="s">
        <v>1405</v>
      </c>
      <c r="G28" s="154" t="s">
        <v>252</v>
      </c>
    </row>
    <row r="29" customFormat="false" ht="15" hidden="false" customHeight="true" outlineLevel="0" collapsed="false">
      <c r="A29" s="146" t="n">
        <v>2</v>
      </c>
      <c r="B29" s="146" t="s">
        <v>372</v>
      </c>
      <c r="C29" s="146" t="s">
        <v>23</v>
      </c>
      <c r="D29" s="146" t="s">
        <v>1406</v>
      </c>
      <c r="E29" s="146" t="s">
        <v>1407</v>
      </c>
      <c r="F29" s="146" t="s">
        <v>1405</v>
      </c>
      <c r="G29" s="154" t="s">
        <v>252</v>
      </c>
    </row>
    <row r="30" customFormat="false" ht="15" hidden="false" customHeight="true" outlineLevel="0" collapsed="false">
      <c r="A30" s="146" t="n">
        <v>3</v>
      </c>
      <c r="B30" s="146" t="s">
        <v>262</v>
      </c>
      <c r="C30" s="146" t="s">
        <v>23</v>
      </c>
      <c r="D30" s="146" t="s">
        <v>1408</v>
      </c>
      <c r="E30" s="146" t="s">
        <v>1409</v>
      </c>
      <c r="F30" s="146" t="s">
        <v>1405</v>
      </c>
      <c r="G30" s="154" t="s">
        <v>252</v>
      </c>
    </row>
    <row r="31" customFormat="false" ht="15" hidden="false" customHeight="true" outlineLevel="0" collapsed="false">
      <c r="A31" s="146" t="n">
        <v>4</v>
      </c>
      <c r="B31" s="146" t="s">
        <v>307</v>
      </c>
      <c r="C31" s="146" t="s">
        <v>23</v>
      </c>
      <c r="D31" s="146" t="s">
        <v>1410</v>
      </c>
      <c r="E31" s="146" t="s">
        <v>1411</v>
      </c>
      <c r="F31" s="146" t="s">
        <v>1405</v>
      </c>
      <c r="G31" s="154" t="s">
        <v>252</v>
      </c>
    </row>
    <row r="32" customFormat="false" ht="15" hidden="false" customHeight="true" outlineLevel="0" collapsed="false">
      <c r="A32" s="146" t="n">
        <v>5</v>
      </c>
      <c r="B32" s="146" t="s">
        <v>414</v>
      </c>
      <c r="C32" s="146" t="s">
        <v>23</v>
      </c>
      <c r="D32" s="146" t="s">
        <v>1412</v>
      </c>
      <c r="E32" s="146" t="s">
        <v>1413</v>
      </c>
      <c r="F32" s="146" t="s">
        <v>1405</v>
      </c>
      <c r="G32" s="154" t="s">
        <v>252</v>
      </c>
    </row>
    <row r="33" customFormat="false" ht="15" hidden="false" customHeight="true" outlineLevel="0" collapsed="false">
      <c r="A33" s="146" t="n">
        <v>6</v>
      </c>
      <c r="B33" s="146" t="s">
        <v>811</v>
      </c>
      <c r="C33" s="146" t="s">
        <v>909</v>
      </c>
      <c r="D33" s="146" t="s">
        <v>1414</v>
      </c>
      <c r="E33" s="146" t="s">
        <v>1415</v>
      </c>
      <c r="F33" s="146" t="s">
        <v>1405</v>
      </c>
      <c r="G33" s="154" t="s">
        <v>252</v>
      </c>
    </row>
    <row r="34" customFormat="false" ht="15" hidden="false" customHeight="true" outlineLevel="0" collapsed="false">
      <c r="A34" s="146" t="n">
        <v>7</v>
      </c>
      <c r="B34" s="146" t="s">
        <v>474</v>
      </c>
      <c r="C34" s="146" t="s">
        <v>34</v>
      </c>
      <c r="D34" s="146" t="s">
        <v>1416</v>
      </c>
      <c r="E34" s="146" t="s">
        <v>1417</v>
      </c>
      <c r="F34" s="146" t="s">
        <v>1405</v>
      </c>
      <c r="G34" s="154" t="s">
        <v>252</v>
      </c>
    </row>
    <row r="35" customFormat="false" ht="15" hidden="false" customHeight="true" outlineLevel="0" collapsed="false">
      <c r="A35" s="146" t="n">
        <v>8</v>
      </c>
      <c r="B35" s="146" t="s">
        <v>316</v>
      </c>
      <c r="C35" s="146" t="s">
        <v>23</v>
      </c>
      <c r="D35" s="146" t="s">
        <v>1418</v>
      </c>
      <c r="E35" s="146" t="s">
        <v>1419</v>
      </c>
      <c r="F35" s="146" t="s">
        <v>1405</v>
      </c>
      <c r="G35" s="154" t="s">
        <v>252</v>
      </c>
    </row>
    <row r="36" customFormat="false" ht="15" hidden="false" customHeight="true" outlineLevel="0" collapsed="false">
      <c r="A36" s="146" t="n">
        <v>9</v>
      </c>
      <c r="B36" s="146" t="s">
        <v>739</v>
      </c>
      <c r="C36" s="146" t="s">
        <v>55</v>
      </c>
      <c r="D36" s="146" t="s">
        <v>1420</v>
      </c>
      <c r="E36" s="146" t="s">
        <v>1421</v>
      </c>
      <c r="F36" s="146" t="s">
        <v>1405</v>
      </c>
      <c r="G36" s="154" t="s">
        <v>252</v>
      </c>
    </row>
    <row r="37" customFormat="false" ht="15" hidden="false" customHeight="true" outlineLevel="0" collapsed="false">
      <c r="A37" s="146" t="n">
        <v>10</v>
      </c>
      <c r="B37" s="146" t="s">
        <v>1422</v>
      </c>
      <c r="C37" s="146" t="s">
        <v>1422</v>
      </c>
      <c r="D37" s="146" t="s">
        <v>1423</v>
      </c>
      <c r="E37" s="146" t="s">
        <v>1424</v>
      </c>
      <c r="F37" s="146" t="s">
        <v>1425</v>
      </c>
      <c r="G37" s="148" t="s">
        <v>631</v>
      </c>
    </row>
    <row r="40" customFormat="false" ht="15" hidden="false" customHeight="true" outlineLevel="0" collapsed="false">
      <c r="A40" s="143" t="s">
        <v>1426</v>
      </c>
    </row>
    <row r="41" customFormat="false" ht="15" hidden="false" customHeight="true" outlineLevel="0" collapsed="false">
      <c r="A41" s="1" t="s">
        <v>1427</v>
      </c>
      <c r="B41" s="1" t="s">
        <v>1428</v>
      </c>
    </row>
    <row r="42" customFormat="false" ht="15" hidden="false" customHeight="true" outlineLevel="0" collapsed="false">
      <c r="A42" s="1" t="s">
        <v>1429</v>
      </c>
      <c r="B42" s="1" t="s">
        <v>1430</v>
      </c>
    </row>
    <row r="43" customFormat="false" ht="15" hidden="false" customHeight="true" outlineLevel="0" collapsed="false">
      <c r="A43" s="1" t="s">
        <v>1431</v>
      </c>
      <c r="B43" s="1" t="s">
        <v>1432</v>
      </c>
    </row>
    <row r="44" customFormat="false" ht="15" hidden="false" customHeight="true" outlineLevel="0" collapsed="false">
      <c r="A44" s="1" t="s">
        <v>1433</v>
      </c>
      <c r="B44" s="1" t="s">
        <v>1434</v>
      </c>
    </row>
    <row r="46" customFormat="false" ht="15" hidden="false" customHeight="false" outlineLevel="0" collapsed="false">
      <c r="A46" s="142" t="s">
        <v>1435</v>
      </c>
    </row>
    <row r="47" customFormat="false" ht="15" hidden="false" customHeight="false" outlineLevel="0" collapsed="false">
      <c r="A47" s="155" t="s">
        <v>1436</v>
      </c>
    </row>
    <row r="48" customFormat="false" ht="15" hidden="false" customHeight="false" outlineLevel="0" collapsed="false">
      <c r="A48" s="155" t="s">
        <v>1437</v>
      </c>
    </row>
    <row r="49" customFormat="false" ht="15" hidden="false" customHeight="false" outlineLevel="0" collapsed="false">
      <c r="A49" s="155" t="s">
        <v>1438</v>
      </c>
    </row>
    <row r="50" customFormat="false" ht="15" hidden="false" customHeight="false" outlineLevel="0" collapsed="false">
      <c r="A50" s="155" t="s">
        <v>1439</v>
      </c>
    </row>
    <row r="51" customFormat="false" ht="15" hidden="false" customHeight="false" outlineLevel="0" collapsed="false">
      <c r="A51" s="155" t="s">
        <v>1440</v>
      </c>
    </row>
    <row r="52" customFormat="false" ht="15" hidden="false" customHeight="false" outlineLevel="0" collapsed="false">
      <c r="A52" s="155" t="s">
        <v>1441</v>
      </c>
    </row>
    <row r="53" customFormat="false" ht="15" hidden="false" customHeight="false" outlineLevel="0" collapsed="false">
      <c r="A53" s="155" t="s">
        <v>1442</v>
      </c>
    </row>
  </sheetData>
  <mergeCells count="3">
    <mergeCell ref="A1:G1"/>
    <mergeCell ref="A2:G2"/>
    <mergeCell ref="A5:G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6"/>
    <col collapsed="false" customWidth="true" hidden="false" outlineLevel="0" max="2" min="2" style="0" width="70"/>
    <col collapsed="false" customWidth="true" hidden="false" outlineLevel="0" max="5" min="3" style="0" width="12"/>
  </cols>
  <sheetData>
    <row r="1" customFormat="false" ht="17.35" hidden="false" customHeight="false" outlineLevel="0" collapsed="false">
      <c r="A1" s="156" t="s">
        <v>1443</v>
      </c>
      <c r="B1" s="156"/>
      <c r="C1" s="156"/>
      <c r="D1" s="156"/>
      <c r="E1" s="156"/>
    </row>
    <row r="3" customFormat="false" ht="15" hidden="false" customHeight="false" outlineLevel="0" collapsed="false">
      <c r="A3" s="157" t="s">
        <v>1281</v>
      </c>
      <c r="B3" s="157" t="s">
        <v>931</v>
      </c>
      <c r="C3" s="157" t="s">
        <v>1444</v>
      </c>
      <c r="D3" s="157" t="s">
        <v>1445</v>
      </c>
      <c r="E3" s="157" t="s">
        <v>150</v>
      </c>
    </row>
    <row r="4" customFormat="false" ht="15" hidden="false" customHeight="false" outlineLevel="0" collapsed="false">
      <c r="A4" s="1" t="s">
        <v>280</v>
      </c>
      <c r="B4" s="1" t="s">
        <v>1446</v>
      </c>
      <c r="C4" s="1" t="n">
        <v>3</v>
      </c>
      <c r="D4" s="1" t="n">
        <v>1200</v>
      </c>
      <c r="E4" s="158" t="s">
        <v>159</v>
      </c>
    </row>
    <row r="5" customFormat="false" ht="15" hidden="false" customHeight="false" outlineLevel="0" collapsed="false">
      <c r="A5" s="1" t="s">
        <v>372</v>
      </c>
      <c r="B5" s="1" t="s">
        <v>1447</v>
      </c>
      <c r="C5" s="1" t="n">
        <v>6</v>
      </c>
      <c r="D5" s="1" t="n">
        <v>1800</v>
      </c>
      <c r="E5" s="158" t="s">
        <v>159</v>
      </c>
    </row>
    <row r="6" customFormat="false" ht="15" hidden="false" customHeight="false" outlineLevel="0" collapsed="false">
      <c r="A6" s="1" t="s">
        <v>307</v>
      </c>
      <c r="B6" s="1" t="s">
        <v>1448</v>
      </c>
      <c r="C6" s="1" t="n">
        <v>4</v>
      </c>
      <c r="D6" s="1" t="n">
        <v>800</v>
      </c>
      <c r="E6" s="158" t="s">
        <v>159</v>
      </c>
    </row>
    <row r="7" customFormat="false" ht="15" hidden="false" customHeight="false" outlineLevel="0" collapsed="false">
      <c r="A7" s="1" t="s">
        <v>262</v>
      </c>
      <c r="B7" s="1" t="s">
        <v>1449</v>
      </c>
      <c r="C7" s="1" t="n">
        <v>5</v>
      </c>
      <c r="D7" s="1" t="n">
        <v>600</v>
      </c>
      <c r="E7" s="158" t="s">
        <v>159</v>
      </c>
    </row>
    <row r="8" customFormat="false" ht="15" hidden="false" customHeight="false" outlineLevel="0" collapsed="false">
      <c r="A8" s="1" t="s">
        <v>474</v>
      </c>
      <c r="B8" s="1" t="s">
        <v>1450</v>
      </c>
      <c r="C8" s="1" t="n">
        <v>2</v>
      </c>
      <c r="D8" s="1" t="n">
        <v>1400</v>
      </c>
      <c r="E8" s="158" t="s">
        <v>159</v>
      </c>
    </row>
    <row r="9" customFormat="false" ht="15" hidden="false" customHeight="false" outlineLevel="0" collapsed="false">
      <c r="A9" s="1" t="s">
        <v>1451</v>
      </c>
      <c r="B9" s="1" t="s">
        <v>1452</v>
      </c>
      <c r="C9" s="1" t="n">
        <v>4</v>
      </c>
      <c r="D9" s="1" t="n">
        <v>1200</v>
      </c>
      <c r="E9" s="158" t="s">
        <v>159</v>
      </c>
    </row>
    <row r="10" customFormat="false" ht="15" hidden="false" customHeight="false" outlineLevel="0" collapsed="false">
      <c r="A10" s="1" t="s">
        <v>316</v>
      </c>
      <c r="B10" s="1" t="s">
        <v>1453</v>
      </c>
      <c r="C10" s="1" t="n">
        <v>5</v>
      </c>
      <c r="D10" s="1" t="n">
        <v>1000</v>
      </c>
      <c r="E10" s="158" t="s">
        <v>159</v>
      </c>
    </row>
    <row r="11" customFormat="false" ht="15" hidden="false" customHeight="false" outlineLevel="0" collapsed="false">
      <c r="A11" s="1" t="s">
        <v>811</v>
      </c>
      <c r="B11" s="1" t="s">
        <v>1454</v>
      </c>
      <c r="C11" s="1" t="n">
        <v>4</v>
      </c>
      <c r="D11" s="1" t="n">
        <v>2800</v>
      </c>
      <c r="E11" s="158" t="s">
        <v>159</v>
      </c>
    </row>
    <row r="12" customFormat="false" ht="15" hidden="false" customHeight="false" outlineLevel="0" collapsed="false">
      <c r="A12" s="1" t="s">
        <v>739</v>
      </c>
      <c r="B12" s="1" t="s">
        <v>1455</v>
      </c>
      <c r="C12" s="1" t="n">
        <v>5</v>
      </c>
      <c r="D12" s="1" t="n">
        <v>2000</v>
      </c>
      <c r="E12" s="158" t="s">
        <v>159</v>
      </c>
    </row>
    <row r="13" customFormat="false" ht="15" hidden="false" customHeight="false" outlineLevel="0" collapsed="false">
      <c r="A13" s="142" t="s">
        <v>1456</v>
      </c>
      <c r="C13" s="1" t="n">
        <f aca="false">SUM(C4:C12)</f>
        <v>38</v>
      </c>
      <c r="D13" s="1" t="n">
        <f aca="false">SUM(D4:D12)</f>
        <v>12800</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6"/>
    <col collapsed="false" customWidth="true" hidden="false" outlineLevel="0" max="2" min="2" style="0" width="70"/>
    <col collapsed="false" customWidth="true" hidden="false" outlineLevel="0" max="5" min="3" style="0" width="12"/>
  </cols>
  <sheetData>
    <row r="1" customFormat="false" ht="17.35" hidden="false" customHeight="false" outlineLevel="0" collapsed="false">
      <c r="A1" s="156" t="s">
        <v>1457</v>
      </c>
      <c r="B1" s="156"/>
      <c r="C1" s="156"/>
      <c r="D1" s="156"/>
      <c r="E1" s="156"/>
    </row>
    <row r="3" customFormat="false" ht="15" hidden="false" customHeight="false" outlineLevel="0" collapsed="false">
      <c r="A3" s="157" t="s">
        <v>1281</v>
      </c>
      <c r="B3" s="157" t="s">
        <v>931</v>
      </c>
      <c r="C3" s="157" t="s">
        <v>1444</v>
      </c>
      <c r="D3" s="157" t="s">
        <v>1445</v>
      </c>
      <c r="E3" s="157" t="s">
        <v>150</v>
      </c>
    </row>
    <row r="4" customFormat="false" ht="15" hidden="false" customHeight="false" outlineLevel="0" collapsed="false">
      <c r="A4" s="1" t="s">
        <v>280</v>
      </c>
      <c r="B4" s="1" t="s">
        <v>1458</v>
      </c>
      <c r="C4" s="1" t="n">
        <v>3</v>
      </c>
      <c r="D4" s="1" t="n">
        <v>1800</v>
      </c>
      <c r="E4" s="158" t="s">
        <v>159</v>
      </c>
    </row>
    <row r="5" customFormat="false" ht="15" hidden="false" customHeight="false" outlineLevel="0" collapsed="false">
      <c r="A5" s="1" t="s">
        <v>372</v>
      </c>
      <c r="B5" s="1" t="s">
        <v>1459</v>
      </c>
      <c r="C5" s="1" t="n">
        <v>6</v>
      </c>
      <c r="D5" s="1" t="n">
        <v>600</v>
      </c>
      <c r="E5" s="158" t="s">
        <v>159</v>
      </c>
    </row>
    <row r="6" customFormat="false" ht="15" hidden="false" customHeight="false" outlineLevel="0" collapsed="false">
      <c r="A6" s="1" t="s">
        <v>307</v>
      </c>
      <c r="B6" s="1" t="s">
        <v>1460</v>
      </c>
      <c r="C6" s="1" t="n">
        <v>4</v>
      </c>
      <c r="D6" s="1" t="n">
        <v>3200</v>
      </c>
      <c r="E6" s="158" t="s">
        <v>159</v>
      </c>
    </row>
    <row r="7" customFormat="false" ht="15" hidden="false" customHeight="false" outlineLevel="0" collapsed="false">
      <c r="A7" s="1" t="s">
        <v>262</v>
      </c>
      <c r="B7" s="1" t="s">
        <v>1461</v>
      </c>
      <c r="C7" s="1" t="n">
        <v>3</v>
      </c>
      <c r="D7" s="1" t="n">
        <v>800</v>
      </c>
      <c r="E7" s="158" t="s">
        <v>159</v>
      </c>
    </row>
    <row r="8" customFormat="false" ht="15" hidden="false" customHeight="false" outlineLevel="0" collapsed="false">
      <c r="A8" s="1" t="s">
        <v>474</v>
      </c>
      <c r="B8" s="1" t="s">
        <v>1462</v>
      </c>
      <c r="C8" s="1" t="n">
        <v>5</v>
      </c>
      <c r="D8" s="1" t="n">
        <v>1200</v>
      </c>
      <c r="E8" s="158" t="s">
        <v>159</v>
      </c>
    </row>
    <row r="9" customFormat="false" ht="15" hidden="false" customHeight="false" outlineLevel="0" collapsed="false">
      <c r="A9" s="1" t="s">
        <v>1451</v>
      </c>
      <c r="B9" s="1" t="s">
        <v>1463</v>
      </c>
      <c r="C9" s="1" t="n">
        <v>5</v>
      </c>
      <c r="D9" s="1" t="n">
        <v>1200</v>
      </c>
      <c r="E9" s="158" t="s">
        <v>159</v>
      </c>
    </row>
    <row r="10" customFormat="false" ht="15" hidden="false" customHeight="false" outlineLevel="0" collapsed="false">
      <c r="A10" s="1" t="s">
        <v>316</v>
      </c>
      <c r="B10" s="1" t="s">
        <v>1464</v>
      </c>
      <c r="C10" s="1" t="n">
        <v>5</v>
      </c>
      <c r="D10" s="1" t="n">
        <v>1000</v>
      </c>
      <c r="E10" s="158" t="s">
        <v>159</v>
      </c>
    </row>
    <row r="11" customFormat="false" ht="15" hidden="false" customHeight="false" outlineLevel="0" collapsed="false">
      <c r="A11" s="1" t="s">
        <v>811</v>
      </c>
      <c r="B11" s="1" t="s">
        <v>1465</v>
      </c>
      <c r="C11" s="1" t="n">
        <v>4</v>
      </c>
      <c r="D11" s="1" t="n">
        <v>3600</v>
      </c>
      <c r="E11" s="158" t="s">
        <v>159</v>
      </c>
    </row>
    <row r="12" customFormat="false" ht="15" hidden="false" customHeight="false" outlineLevel="0" collapsed="false">
      <c r="A12" s="1" t="s">
        <v>739</v>
      </c>
      <c r="B12" s="1" t="s">
        <v>1466</v>
      </c>
      <c r="C12" s="1" t="n">
        <v>4</v>
      </c>
      <c r="D12" s="1" t="n">
        <v>1600</v>
      </c>
      <c r="E12" s="158" t="s">
        <v>159</v>
      </c>
    </row>
    <row r="13" customFormat="false" ht="15" hidden="false" customHeight="false" outlineLevel="0" collapsed="false">
      <c r="A13" s="142" t="s">
        <v>1456</v>
      </c>
      <c r="C13" s="1" t="n">
        <f aca="false">SUM(C4:C12)</f>
        <v>39</v>
      </c>
      <c r="D13" s="1" t="n">
        <f aca="false">SUM(D4:D12)</f>
        <v>15000</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40"/>
    <col collapsed="false" customWidth="true" hidden="false" outlineLevel="0" max="4" min="4" style="0" width="60"/>
    <col collapsed="false" customWidth="true" hidden="false" outlineLevel="0" max="5" min="5" style="0" width="12"/>
    <col collapsed="false" customWidth="true" hidden="false" outlineLevel="0" max="6" min="6" style="0" width="10"/>
  </cols>
  <sheetData>
    <row r="1" customFormat="false" ht="17.35" hidden="false" customHeight="false" outlineLevel="0" collapsed="false">
      <c r="A1" s="159" t="s">
        <v>1467</v>
      </c>
      <c r="B1" s="159"/>
      <c r="C1" s="159"/>
      <c r="D1" s="159"/>
      <c r="E1" s="159"/>
      <c r="F1" s="159"/>
    </row>
    <row r="3" customFormat="false" ht="15" hidden="false" customHeight="false" outlineLevel="0" collapsed="false">
      <c r="A3" s="160" t="s">
        <v>1281</v>
      </c>
      <c r="B3" s="160" t="s">
        <v>253</v>
      </c>
      <c r="C3" s="160" t="s">
        <v>1468</v>
      </c>
      <c r="D3" s="160" t="s">
        <v>1469</v>
      </c>
      <c r="E3" s="160" t="s">
        <v>1470</v>
      </c>
      <c r="F3" s="160" t="s">
        <v>143</v>
      </c>
    </row>
    <row r="4" customFormat="false" ht="23.85" hidden="false" customHeight="false" outlineLevel="0" collapsed="false">
      <c r="A4" s="161" t="s">
        <v>1471</v>
      </c>
      <c r="B4" s="161" t="s">
        <v>1472</v>
      </c>
      <c r="C4" s="161" t="s">
        <v>1473</v>
      </c>
      <c r="D4" s="161" t="s">
        <v>1474</v>
      </c>
      <c r="E4" s="161" t="s">
        <v>1475</v>
      </c>
      <c r="F4" s="161" t="s">
        <v>153</v>
      </c>
    </row>
    <row r="5" customFormat="false" ht="23.85" hidden="false" customHeight="false" outlineLevel="0" collapsed="false">
      <c r="A5" s="161" t="s">
        <v>1476</v>
      </c>
      <c r="B5" s="161" t="s">
        <v>1477</v>
      </c>
      <c r="C5" s="161" t="s">
        <v>1478</v>
      </c>
      <c r="D5" s="161" t="s">
        <v>1479</v>
      </c>
      <c r="E5" s="161" t="s">
        <v>1480</v>
      </c>
      <c r="F5" s="161" t="s">
        <v>153</v>
      </c>
    </row>
    <row r="6" customFormat="false" ht="23.85" hidden="false" customHeight="false" outlineLevel="0" collapsed="false">
      <c r="A6" s="161" t="s">
        <v>1481</v>
      </c>
      <c r="B6" s="161" t="s">
        <v>1482</v>
      </c>
      <c r="C6" s="161" t="s">
        <v>1483</v>
      </c>
      <c r="D6" s="161" t="s">
        <v>1484</v>
      </c>
      <c r="E6" s="161" t="s">
        <v>1485</v>
      </c>
      <c r="F6" s="161" t="s">
        <v>153</v>
      </c>
    </row>
    <row r="7" customFormat="false" ht="23.85" hidden="false" customHeight="false" outlineLevel="0" collapsed="false">
      <c r="A7" s="161" t="s">
        <v>1486</v>
      </c>
      <c r="B7" s="161" t="s">
        <v>1487</v>
      </c>
      <c r="C7" s="161" t="s">
        <v>1488</v>
      </c>
      <c r="D7" s="161" t="s">
        <v>1489</v>
      </c>
      <c r="E7" s="161" t="s">
        <v>1490</v>
      </c>
      <c r="F7" s="161" t="s">
        <v>153</v>
      </c>
    </row>
    <row r="8" customFormat="false" ht="23.85" hidden="false" customHeight="false" outlineLevel="0" collapsed="false">
      <c r="A8" s="161" t="s">
        <v>1491</v>
      </c>
      <c r="B8" s="161" t="s">
        <v>1492</v>
      </c>
      <c r="C8" s="161" t="s">
        <v>1493</v>
      </c>
      <c r="D8" s="161" t="s">
        <v>1494</v>
      </c>
      <c r="E8" s="161" t="s">
        <v>1495</v>
      </c>
      <c r="F8" s="161" t="s">
        <v>153</v>
      </c>
    </row>
    <row r="9" customFormat="false" ht="23.85" hidden="false" customHeight="false" outlineLevel="0" collapsed="false">
      <c r="A9" s="161" t="s">
        <v>1496</v>
      </c>
      <c r="B9" s="161" t="s">
        <v>1497</v>
      </c>
      <c r="C9" s="161" t="s">
        <v>1498</v>
      </c>
      <c r="D9" s="161" t="s">
        <v>1499</v>
      </c>
      <c r="E9" s="161" t="s">
        <v>1500</v>
      </c>
      <c r="F9" s="161" t="s">
        <v>185</v>
      </c>
    </row>
    <row r="10" customFormat="false" ht="23.85" hidden="false" customHeight="false" outlineLevel="0" collapsed="false">
      <c r="A10" s="161" t="s">
        <v>1501</v>
      </c>
      <c r="B10" s="161" t="s">
        <v>1502</v>
      </c>
      <c r="C10" s="161" t="s">
        <v>1503</v>
      </c>
      <c r="D10" s="161" t="s">
        <v>1504</v>
      </c>
      <c r="E10" s="161" t="s">
        <v>1505</v>
      </c>
      <c r="F10" s="161" t="s">
        <v>185</v>
      </c>
    </row>
    <row r="11" customFormat="false" ht="23.85" hidden="false" customHeight="false" outlineLevel="0" collapsed="false">
      <c r="A11" s="161" t="s">
        <v>1506</v>
      </c>
      <c r="B11" s="161" t="s">
        <v>1507</v>
      </c>
      <c r="C11" s="161" t="s">
        <v>1508</v>
      </c>
      <c r="D11" s="161" t="s">
        <v>1509</v>
      </c>
      <c r="E11" s="161" t="s">
        <v>1510</v>
      </c>
      <c r="F11" s="161" t="s">
        <v>185</v>
      </c>
    </row>
    <row r="12" customFormat="false" ht="23.85" hidden="false" customHeight="false" outlineLevel="0" collapsed="false">
      <c r="A12" s="161" t="s">
        <v>1511</v>
      </c>
      <c r="B12" s="161" t="s">
        <v>1512</v>
      </c>
      <c r="C12" s="161" t="s">
        <v>1513</v>
      </c>
      <c r="D12" s="161" t="s">
        <v>1514</v>
      </c>
      <c r="E12" s="161" t="s">
        <v>1510</v>
      </c>
      <c r="F12" s="161" t="s">
        <v>185</v>
      </c>
    </row>
    <row r="14" customFormat="false" ht="15" hidden="false" customHeight="false" outlineLevel="0" collapsed="false">
      <c r="A14" s="142" t="s">
        <v>1515</v>
      </c>
      <c r="C14" s="1" t="s">
        <v>1516</v>
      </c>
      <c r="E14" s="1" t="s">
        <v>1517</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74C3C"/>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42"/>
    <col collapsed="false" customWidth="true" hidden="false" outlineLevel="0" max="4" min="4" style="0" width="65"/>
    <col collapsed="false" customWidth="true" hidden="false" outlineLevel="0" max="5" min="5" style="0" width="12"/>
    <col collapsed="false" customWidth="true" hidden="false" outlineLevel="0" max="6" min="6" style="0" width="10"/>
  </cols>
  <sheetData>
    <row r="1" customFormat="false" ht="17.35" hidden="false" customHeight="false" outlineLevel="0" collapsed="false">
      <c r="A1" s="162" t="s">
        <v>1518</v>
      </c>
      <c r="B1" s="162"/>
      <c r="C1" s="162"/>
      <c r="D1" s="162"/>
      <c r="E1" s="162"/>
      <c r="F1" s="162"/>
    </row>
    <row r="3" customFormat="false" ht="15" hidden="false" customHeight="false" outlineLevel="0" collapsed="false">
      <c r="A3" s="163" t="s">
        <v>1281</v>
      </c>
      <c r="B3" s="163" t="s">
        <v>253</v>
      </c>
      <c r="C3" s="163" t="s">
        <v>1468</v>
      </c>
      <c r="D3" s="163" t="s">
        <v>1469</v>
      </c>
      <c r="E3" s="163" t="s">
        <v>1470</v>
      </c>
      <c r="F3" s="163" t="s">
        <v>143</v>
      </c>
    </row>
    <row r="4" customFormat="false" ht="23.85" hidden="false" customHeight="false" outlineLevel="0" collapsed="false">
      <c r="A4" s="161" t="s">
        <v>1471</v>
      </c>
      <c r="B4" s="161" t="s">
        <v>1472</v>
      </c>
      <c r="C4" s="161" t="s">
        <v>1519</v>
      </c>
      <c r="D4" s="161" t="s">
        <v>1520</v>
      </c>
      <c r="E4" s="161" t="s">
        <v>1521</v>
      </c>
      <c r="F4" s="161" t="s">
        <v>153</v>
      </c>
    </row>
    <row r="5" customFormat="false" ht="15" hidden="false" customHeight="false" outlineLevel="0" collapsed="false">
      <c r="A5" s="161" t="s">
        <v>1476</v>
      </c>
      <c r="B5" s="161" t="s">
        <v>1477</v>
      </c>
      <c r="C5" s="161" t="s">
        <v>1522</v>
      </c>
      <c r="D5" s="161" t="s">
        <v>1523</v>
      </c>
      <c r="E5" s="161" t="s">
        <v>1495</v>
      </c>
      <c r="F5" s="161" t="s">
        <v>153</v>
      </c>
    </row>
    <row r="6" customFormat="false" ht="23.85" hidden="false" customHeight="false" outlineLevel="0" collapsed="false">
      <c r="A6" s="161" t="s">
        <v>1481</v>
      </c>
      <c r="B6" s="161" t="s">
        <v>1482</v>
      </c>
      <c r="C6" s="161" t="s">
        <v>1524</v>
      </c>
      <c r="D6" s="161" t="s">
        <v>1525</v>
      </c>
      <c r="E6" s="161" t="s">
        <v>1495</v>
      </c>
      <c r="F6" s="161" t="s">
        <v>153</v>
      </c>
    </row>
    <row r="7" customFormat="false" ht="23.85" hidden="false" customHeight="false" outlineLevel="0" collapsed="false">
      <c r="A7" s="161" t="s">
        <v>1486</v>
      </c>
      <c r="B7" s="161" t="s">
        <v>1487</v>
      </c>
      <c r="C7" s="161" t="s">
        <v>1526</v>
      </c>
      <c r="D7" s="161" t="s">
        <v>1527</v>
      </c>
      <c r="E7" s="161" t="s">
        <v>1495</v>
      </c>
      <c r="F7" s="161" t="s">
        <v>153</v>
      </c>
    </row>
    <row r="8" customFormat="false" ht="23.85" hidden="false" customHeight="false" outlineLevel="0" collapsed="false">
      <c r="A8" s="161" t="s">
        <v>1491</v>
      </c>
      <c r="B8" s="161" t="s">
        <v>1492</v>
      </c>
      <c r="C8" s="161" t="s">
        <v>1528</v>
      </c>
      <c r="D8" s="161" t="s">
        <v>1529</v>
      </c>
      <c r="E8" s="161" t="s">
        <v>1495</v>
      </c>
      <c r="F8" s="161" t="s">
        <v>153</v>
      </c>
    </row>
    <row r="9" customFormat="false" ht="23.85" hidden="false" customHeight="false" outlineLevel="0" collapsed="false">
      <c r="A9" s="161" t="s">
        <v>1496</v>
      </c>
      <c r="B9" s="161" t="s">
        <v>1497</v>
      </c>
      <c r="C9" s="161" t="s">
        <v>1530</v>
      </c>
      <c r="D9" s="161" t="s">
        <v>1531</v>
      </c>
      <c r="E9" s="161" t="s">
        <v>1495</v>
      </c>
      <c r="F9" s="161" t="s">
        <v>153</v>
      </c>
    </row>
    <row r="10" customFormat="false" ht="23.85" hidden="false" customHeight="false" outlineLevel="0" collapsed="false">
      <c r="A10" s="161" t="s">
        <v>1501</v>
      </c>
      <c r="B10" s="161" t="s">
        <v>1502</v>
      </c>
      <c r="C10" s="161" t="s">
        <v>1532</v>
      </c>
      <c r="D10" s="161" t="s">
        <v>1533</v>
      </c>
      <c r="E10" s="161" t="s">
        <v>1475</v>
      </c>
      <c r="F10" s="161" t="s">
        <v>153</v>
      </c>
    </row>
    <row r="11" customFormat="false" ht="23.85" hidden="false" customHeight="false" outlineLevel="0" collapsed="false">
      <c r="A11" s="161" t="s">
        <v>1506</v>
      </c>
      <c r="B11" s="161" t="s">
        <v>1507</v>
      </c>
      <c r="C11" s="161" t="s">
        <v>1534</v>
      </c>
      <c r="D11" s="161" t="s">
        <v>1535</v>
      </c>
      <c r="E11" s="161" t="s">
        <v>1510</v>
      </c>
      <c r="F11" s="161" t="s">
        <v>185</v>
      </c>
    </row>
    <row r="12" customFormat="false" ht="23.85" hidden="false" customHeight="false" outlineLevel="0" collapsed="false">
      <c r="A12" s="161" t="s">
        <v>1511</v>
      </c>
      <c r="B12" s="161" t="s">
        <v>1512</v>
      </c>
      <c r="C12" s="161" t="s">
        <v>1536</v>
      </c>
      <c r="D12" s="161" t="s">
        <v>1537</v>
      </c>
      <c r="E12" s="161" t="s">
        <v>1510</v>
      </c>
      <c r="F12" s="161" t="s">
        <v>185</v>
      </c>
    </row>
    <row r="14" customFormat="false" ht="15" hidden="false" customHeight="false" outlineLevel="0" collapsed="false">
      <c r="A14" s="142" t="s">
        <v>1538</v>
      </c>
      <c r="C14" s="1" t="s">
        <v>1539</v>
      </c>
      <c r="E14" s="1" t="s">
        <v>1540</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75"/>
    <col collapsed="false" customWidth="true" hidden="false" outlineLevel="0" max="4" min="4" style="0" width="10"/>
    <col collapsed="false" customWidth="true" hidden="false" outlineLevel="0" max="5" min="5" style="0" width="8"/>
    <col collapsed="false" customWidth="true" hidden="false" outlineLevel="0" max="6" min="6" style="0" width="10"/>
    <col collapsed="false" customWidth="true" hidden="false" outlineLevel="0" max="7" min="7" style="0" width="12"/>
  </cols>
  <sheetData>
    <row r="1" customFormat="false" ht="15" hidden="false" customHeight="false" outlineLevel="0" collapsed="false">
      <c r="A1" s="157" t="s">
        <v>1281</v>
      </c>
      <c r="B1" s="157" t="s">
        <v>4</v>
      </c>
      <c r="C1" s="157" t="s">
        <v>1468</v>
      </c>
      <c r="D1" s="157" t="s">
        <v>150</v>
      </c>
      <c r="E1" s="157" t="s">
        <v>1250</v>
      </c>
      <c r="F1" s="157" t="s">
        <v>1251</v>
      </c>
      <c r="G1" s="157" t="s">
        <v>1248</v>
      </c>
    </row>
    <row r="2" customFormat="false" ht="15" hidden="false" customHeight="false" outlineLevel="0" collapsed="false">
      <c r="A2" s="113" t="s">
        <v>14</v>
      </c>
      <c r="B2" s="113" t="s">
        <v>1541</v>
      </c>
      <c r="C2" s="164" t="s">
        <v>1542</v>
      </c>
      <c r="D2" s="113" t="s">
        <v>252</v>
      </c>
      <c r="E2" s="113" t="s">
        <v>1543</v>
      </c>
      <c r="F2" s="113" t="s">
        <v>1544</v>
      </c>
      <c r="G2" s="113" t="s">
        <v>1545</v>
      </c>
    </row>
    <row r="3" customFormat="false" ht="15" hidden="false" customHeight="false" outlineLevel="0" collapsed="false">
      <c r="A3" s="113" t="s">
        <v>48</v>
      </c>
      <c r="B3" s="113" t="s">
        <v>1546</v>
      </c>
      <c r="C3" s="164" t="s">
        <v>1547</v>
      </c>
      <c r="D3" s="113" t="s">
        <v>252</v>
      </c>
      <c r="E3" s="113" t="s">
        <v>1548</v>
      </c>
      <c r="F3" s="113" t="s">
        <v>1549</v>
      </c>
      <c r="G3" s="113" t="s">
        <v>1550</v>
      </c>
    </row>
    <row r="4" customFormat="false" ht="15" hidden="false" customHeight="false" outlineLevel="0" collapsed="false">
      <c r="A4" s="113" t="s">
        <v>42</v>
      </c>
      <c r="B4" s="113" t="s">
        <v>1173</v>
      </c>
      <c r="C4" s="164" t="s">
        <v>1551</v>
      </c>
      <c r="D4" s="113" t="s">
        <v>252</v>
      </c>
      <c r="E4" s="113" t="s">
        <v>1548</v>
      </c>
      <c r="F4" s="113" t="s">
        <v>1552</v>
      </c>
      <c r="G4" s="113" t="s">
        <v>1553</v>
      </c>
    </row>
    <row r="5" customFormat="false" ht="15" hidden="false" customHeight="false" outlineLevel="0" collapsed="false">
      <c r="A5" s="113" t="s">
        <v>20</v>
      </c>
      <c r="B5" s="113" t="s">
        <v>1554</v>
      </c>
      <c r="C5" s="164" t="s">
        <v>1555</v>
      </c>
      <c r="D5" s="113" t="s">
        <v>252</v>
      </c>
      <c r="E5" s="113" t="s">
        <v>1548</v>
      </c>
      <c r="F5" s="113" t="s">
        <v>1556</v>
      </c>
      <c r="G5" s="113" t="s">
        <v>1557</v>
      </c>
    </row>
    <row r="6" customFormat="false" ht="15" hidden="false" customHeight="false" outlineLevel="0" collapsed="false">
      <c r="A6" s="113" t="s">
        <v>52</v>
      </c>
      <c r="B6" s="113" t="s">
        <v>304</v>
      </c>
      <c r="C6" s="164" t="s">
        <v>1558</v>
      </c>
      <c r="D6" s="113" t="s">
        <v>252</v>
      </c>
      <c r="E6" s="113" t="s">
        <v>1548</v>
      </c>
      <c r="F6" s="113" t="s">
        <v>1559</v>
      </c>
      <c r="G6" s="113" t="s">
        <v>1560</v>
      </c>
    </row>
    <row r="7" customFormat="false" ht="15" hidden="false" customHeight="false" outlineLevel="0" collapsed="false">
      <c r="A7" s="113" t="s">
        <v>58</v>
      </c>
      <c r="B7" s="113" t="s">
        <v>1561</v>
      </c>
      <c r="C7" s="164" t="s">
        <v>1562</v>
      </c>
      <c r="D7" s="113" t="s">
        <v>252</v>
      </c>
      <c r="E7" s="113" t="s">
        <v>1548</v>
      </c>
      <c r="F7" s="113" t="s">
        <v>1563</v>
      </c>
      <c r="G7" s="113" t="s">
        <v>1564</v>
      </c>
    </row>
    <row r="8" customFormat="false" ht="15" hidden="false" customHeight="false" outlineLevel="0" collapsed="false">
      <c r="A8" s="113" t="s">
        <v>37</v>
      </c>
      <c r="B8" s="113" t="s">
        <v>34</v>
      </c>
      <c r="C8" s="164" t="s">
        <v>1565</v>
      </c>
      <c r="D8" s="113" t="s">
        <v>252</v>
      </c>
      <c r="E8" s="113" t="s">
        <v>1566</v>
      </c>
      <c r="F8" s="113" t="s">
        <v>1567</v>
      </c>
      <c r="G8" s="113" t="s">
        <v>1545</v>
      </c>
    </row>
    <row r="9" customFormat="false" ht="15" hidden="false" customHeight="false" outlineLevel="0" collapsed="false">
      <c r="A9" s="113" t="s">
        <v>31</v>
      </c>
      <c r="B9" s="113" t="s">
        <v>1568</v>
      </c>
      <c r="C9" s="164" t="s">
        <v>1569</v>
      </c>
      <c r="D9" s="113" t="s">
        <v>252</v>
      </c>
      <c r="E9" s="113" t="s">
        <v>1548</v>
      </c>
      <c r="F9" s="113" t="s">
        <v>1570</v>
      </c>
      <c r="G9" s="113" t="s">
        <v>1545</v>
      </c>
    </row>
    <row r="10" customFormat="false" ht="15" hidden="false" customHeight="false" outlineLevel="0" collapsed="false">
      <c r="A10" s="113" t="s">
        <v>26</v>
      </c>
      <c r="B10" s="113" t="s">
        <v>1571</v>
      </c>
      <c r="C10" s="164" t="s">
        <v>1572</v>
      </c>
      <c r="D10" s="113" t="s">
        <v>252</v>
      </c>
      <c r="E10" s="113" t="s">
        <v>1573</v>
      </c>
      <c r="F10" s="113" t="s">
        <v>1570</v>
      </c>
      <c r="G10" s="113" t="s">
        <v>1545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80"/>
    <col collapsed="false" customWidth="true" hidden="false" outlineLevel="0" max="4" min="4" style="0" width="10"/>
    <col collapsed="false" customWidth="true" hidden="false" outlineLevel="0" max="5" min="5" style="0" width="8"/>
    <col collapsed="false" customWidth="true" hidden="false" outlineLevel="0" max="6" min="6" style="0" width="10"/>
    <col collapsed="false" customWidth="true" hidden="false" outlineLevel="0" max="7" min="7" style="0" width="12"/>
  </cols>
  <sheetData>
    <row r="1" customFormat="false" ht="15" hidden="false" customHeight="false" outlineLevel="0" collapsed="false">
      <c r="A1" s="157" t="s">
        <v>1281</v>
      </c>
      <c r="B1" s="157" t="s">
        <v>4</v>
      </c>
      <c r="C1" s="157" t="s">
        <v>1468</v>
      </c>
      <c r="D1" s="157" t="s">
        <v>150</v>
      </c>
      <c r="E1" s="157" t="s">
        <v>1250</v>
      </c>
      <c r="F1" s="157" t="s">
        <v>1251</v>
      </c>
      <c r="G1" s="157" t="s">
        <v>1248</v>
      </c>
    </row>
    <row r="2" customFormat="false" ht="15" hidden="false" customHeight="false" outlineLevel="0" collapsed="false">
      <c r="A2" s="113" t="s">
        <v>14</v>
      </c>
      <c r="B2" s="113" t="s">
        <v>1541</v>
      </c>
      <c r="C2" s="164" t="s">
        <v>1574</v>
      </c>
      <c r="D2" s="113" t="s">
        <v>252</v>
      </c>
      <c r="E2" s="113" t="s">
        <v>1566</v>
      </c>
      <c r="F2" s="113" t="s">
        <v>1575</v>
      </c>
      <c r="G2" s="113" t="s">
        <v>1545</v>
      </c>
    </row>
    <row r="3" customFormat="false" ht="15" hidden="false" customHeight="false" outlineLevel="0" collapsed="false">
      <c r="A3" s="113" t="s">
        <v>48</v>
      </c>
      <c r="B3" s="113" t="s">
        <v>1546</v>
      </c>
      <c r="C3" s="164" t="s">
        <v>1576</v>
      </c>
      <c r="D3" s="113" t="s">
        <v>252</v>
      </c>
      <c r="E3" s="113" t="s">
        <v>1543</v>
      </c>
      <c r="F3" s="113" t="s">
        <v>1577</v>
      </c>
      <c r="G3" s="113" t="s">
        <v>1557</v>
      </c>
    </row>
    <row r="4" customFormat="false" ht="15" hidden="false" customHeight="false" outlineLevel="0" collapsed="false">
      <c r="A4" s="113" t="s">
        <v>42</v>
      </c>
      <c r="B4" s="113" t="s">
        <v>1173</v>
      </c>
      <c r="C4" s="164" t="s">
        <v>1578</v>
      </c>
      <c r="D4" s="113" t="s">
        <v>252</v>
      </c>
      <c r="E4" s="113" t="s">
        <v>1543</v>
      </c>
      <c r="F4" s="113" t="s">
        <v>1579</v>
      </c>
      <c r="G4" s="113" t="s">
        <v>1580</v>
      </c>
    </row>
    <row r="5" customFormat="false" ht="15" hidden="false" customHeight="false" outlineLevel="0" collapsed="false">
      <c r="A5" s="113" t="s">
        <v>20</v>
      </c>
      <c r="B5" s="113" t="s">
        <v>1554</v>
      </c>
      <c r="C5" s="164" t="s">
        <v>1581</v>
      </c>
      <c r="D5" s="113" t="s">
        <v>252</v>
      </c>
      <c r="E5" s="113" t="s">
        <v>1543</v>
      </c>
      <c r="F5" s="113" t="s">
        <v>1582</v>
      </c>
      <c r="G5" s="113" t="s">
        <v>1583</v>
      </c>
    </row>
    <row r="6" customFormat="false" ht="15" hidden="false" customHeight="false" outlineLevel="0" collapsed="false">
      <c r="A6" s="113" t="s">
        <v>52</v>
      </c>
      <c r="B6" s="113" t="s">
        <v>304</v>
      </c>
      <c r="C6" s="164" t="s">
        <v>1584</v>
      </c>
      <c r="D6" s="113" t="s">
        <v>252</v>
      </c>
      <c r="E6" s="113" t="s">
        <v>1543</v>
      </c>
      <c r="F6" s="113" t="s">
        <v>1585</v>
      </c>
      <c r="G6" s="113" t="s">
        <v>1586</v>
      </c>
    </row>
    <row r="7" customFormat="false" ht="15" hidden="false" customHeight="false" outlineLevel="0" collapsed="false">
      <c r="A7" s="113" t="s">
        <v>58</v>
      </c>
      <c r="B7" s="113" t="s">
        <v>1561</v>
      </c>
      <c r="C7" s="164" t="s">
        <v>1587</v>
      </c>
      <c r="D7" s="113" t="s">
        <v>252</v>
      </c>
      <c r="E7" s="113" t="s">
        <v>1588</v>
      </c>
      <c r="F7" s="113" t="s">
        <v>1589</v>
      </c>
      <c r="G7" s="113" t="s">
        <v>1590</v>
      </c>
    </row>
    <row r="8" customFormat="false" ht="15" hidden="false" customHeight="false" outlineLevel="0" collapsed="false">
      <c r="A8" s="113" t="s">
        <v>37</v>
      </c>
      <c r="B8" s="113" t="s">
        <v>34</v>
      </c>
      <c r="C8" s="164" t="s">
        <v>1591</v>
      </c>
      <c r="D8" s="113" t="s">
        <v>252</v>
      </c>
      <c r="E8" s="113" t="s">
        <v>1573</v>
      </c>
      <c r="F8" s="113" t="s">
        <v>1592</v>
      </c>
      <c r="G8" s="113" t="s">
        <v>1545</v>
      </c>
    </row>
    <row r="9" customFormat="false" ht="15" hidden="false" customHeight="false" outlineLevel="0" collapsed="false">
      <c r="A9" s="113" t="s">
        <v>31</v>
      </c>
      <c r="B9" s="113" t="s">
        <v>1568</v>
      </c>
      <c r="C9" s="164" t="s">
        <v>1593</v>
      </c>
      <c r="D9" s="113" t="s">
        <v>252</v>
      </c>
      <c r="E9" s="113" t="s">
        <v>1548</v>
      </c>
      <c r="F9" s="113" t="s">
        <v>1570</v>
      </c>
      <c r="G9" s="113" t="s">
        <v>1545</v>
      </c>
    </row>
    <row r="10" customFormat="false" ht="15" hidden="false" customHeight="false" outlineLevel="0" collapsed="false">
      <c r="A10" s="113" t="s">
        <v>26</v>
      </c>
      <c r="B10" s="113" t="s">
        <v>1571</v>
      </c>
      <c r="C10" s="164" t="s">
        <v>1594</v>
      </c>
      <c r="D10" s="113" t="s">
        <v>252</v>
      </c>
      <c r="E10" s="113" t="s">
        <v>1595</v>
      </c>
      <c r="F10" s="113" t="s">
        <v>1570</v>
      </c>
      <c r="G10" s="113" t="s">
        <v>1545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75"/>
    <col collapsed="false" customWidth="true" hidden="false" outlineLevel="0" max="4" min="4" style="0" width="12"/>
    <col collapsed="false" customWidth="true" hidden="false" outlineLevel="0" max="5" min="5" style="0" width="45"/>
  </cols>
  <sheetData>
    <row r="1" customFormat="false" ht="15" hidden="false" customHeight="false" outlineLevel="0" collapsed="false">
      <c r="A1" s="157" t="s">
        <v>1281</v>
      </c>
      <c r="B1" s="157" t="s">
        <v>4</v>
      </c>
      <c r="C1" s="157" t="s">
        <v>1468</v>
      </c>
      <c r="D1" s="157" t="s">
        <v>150</v>
      </c>
      <c r="E1" s="157" t="s">
        <v>1469</v>
      </c>
    </row>
    <row r="2" customFormat="false" ht="15" hidden="false" customHeight="false" outlineLevel="0" collapsed="false">
      <c r="A2" s="113" t="s">
        <v>14</v>
      </c>
      <c r="B2" s="113" t="s">
        <v>1541</v>
      </c>
      <c r="C2" s="164" t="s">
        <v>1596</v>
      </c>
      <c r="D2" s="113" t="s">
        <v>631</v>
      </c>
      <c r="E2" s="164" t="s">
        <v>1597</v>
      </c>
    </row>
    <row r="3" customFormat="false" ht="15" hidden="false" customHeight="false" outlineLevel="0" collapsed="false">
      <c r="A3" s="113" t="s">
        <v>48</v>
      </c>
      <c r="B3" s="113" t="s">
        <v>1546</v>
      </c>
      <c r="C3" s="164" t="s">
        <v>1598</v>
      </c>
      <c r="D3" s="113" t="s">
        <v>631</v>
      </c>
      <c r="E3" s="164" t="s">
        <v>1599</v>
      </c>
    </row>
    <row r="4" customFormat="false" ht="15" hidden="false" customHeight="false" outlineLevel="0" collapsed="false">
      <c r="A4" s="113" t="s">
        <v>42</v>
      </c>
      <c r="B4" s="113" t="s">
        <v>1173</v>
      </c>
      <c r="C4" s="164" t="s">
        <v>1600</v>
      </c>
      <c r="D4" s="113" t="s">
        <v>631</v>
      </c>
      <c r="E4" s="164" t="s">
        <v>1601</v>
      </c>
    </row>
    <row r="5" customFormat="false" ht="15" hidden="false" customHeight="false" outlineLevel="0" collapsed="false">
      <c r="A5" s="113" t="s">
        <v>20</v>
      </c>
      <c r="B5" s="113" t="s">
        <v>1554</v>
      </c>
      <c r="C5" s="164" t="s">
        <v>1602</v>
      </c>
      <c r="D5" s="113" t="s">
        <v>631</v>
      </c>
      <c r="E5" s="164" t="s">
        <v>1603</v>
      </c>
    </row>
    <row r="6" customFormat="false" ht="15" hidden="false" customHeight="false" outlineLevel="0" collapsed="false">
      <c r="A6" s="113" t="s">
        <v>52</v>
      </c>
      <c r="B6" s="113" t="s">
        <v>304</v>
      </c>
      <c r="C6" s="164" t="s">
        <v>1604</v>
      </c>
      <c r="D6" s="113" t="s">
        <v>631</v>
      </c>
      <c r="E6" s="164" t="s">
        <v>1605</v>
      </c>
    </row>
    <row r="7" customFormat="false" ht="15" hidden="false" customHeight="false" outlineLevel="0" collapsed="false">
      <c r="A7" s="113" t="s">
        <v>58</v>
      </c>
      <c r="B7" s="113" t="s">
        <v>1561</v>
      </c>
      <c r="C7" s="164" t="s">
        <v>1606</v>
      </c>
      <c r="D7" s="113" t="s">
        <v>631</v>
      </c>
      <c r="E7" s="164" t="s">
        <v>1607</v>
      </c>
    </row>
    <row r="8" customFormat="false" ht="15" hidden="false" customHeight="false" outlineLevel="0" collapsed="false">
      <c r="A8" s="113" t="s">
        <v>37</v>
      </c>
      <c r="B8" s="113" t="s">
        <v>34</v>
      </c>
      <c r="C8" s="164" t="s">
        <v>1608</v>
      </c>
      <c r="D8" s="113" t="s">
        <v>631</v>
      </c>
      <c r="E8" s="164" t="s">
        <v>1609</v>
      </c>
    </row>
    <row r="9" customFormat="false" ht="15" hidden="false" customHeight="false" outlineLevel="0" collapsed="false">
      <c r="A9" s="113" t="s">
        <v>31</v>
      </c>
      <c r="B9" s="113" t="s">
        <v>1568</v>
      </c>
      <c r="C9" s="164" t="s">
        <v>1610</v>
      </c>
      <c r="D9" s="113" t="s">
        <v>631</v>
      </c>
      <c r="E9" s="164" t="s">
        <v>1611</v>
      </c>
    </row>
    <row r="10" customFormat="false" ht="15" hidden="false" customHeight="false" outlineLevel="0" collapsed="false">
      <c r="A10" s="113" t="s">
        <v>26</v>
      </c>
      <c r="B10" s="113" t="s">
        <v>1571</v>
      </c>
      <c r="C10" s="164" t="s">
        <v>1612</v>
      </c>
      <c r="D10" s="113" t="s">
        <v>631</v>
      </c>
      <c r="E10" s="164" t="s">
        <v>1613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2"/>
    <col collapsed="false" customWidth="true" hidden="false" outlineLevel="0" max="2" min="2" style="0" width="45"/>
    <col collapsed="false" customWidth="true" hidden="false" outlineLevel="0" max="3" min="3" style="0" width="65"/>
    <col collapsed="false" customWidth="true" hidden="false" outlineLevel="0" max="4" min="4" style="0" width="18"/>
  </cols>
  <sheetData>
    <row r="1" customFormat="false" ht="17.35" hidden="false" customHeight="false" outlineLevel="0" collapsed="false">
      <c r="A1" s="165" t="s">
        <v>1614</v>
      </c>
      <c r="B1" s="165"/>
      <c r="C1" s="165"/>
      <c r="D1" s="165"/>
    </row>
    <row r="2" customFormat="false" ht="15" hidden="false" customHeight="false" outlineLevel="0" collapsed="false">
      <c r="A2" s="166" t="s">
        <v>1615</v>
      </c>
      <c r="B2" s="166"/>
      <c r="C2" s="166"/>
      <c r="D2" s="166"/>
    </row>
    <row r="3" customFormat="false" ht="15" hidden="false" customHeight="false" outlineLevel="0" collapsed="false">
      <c r="A3" s="167" t="s">
        <v>1281</v>
      </c>
      <c r="B3" s="167" t="s">
        <v>1616</v>
      </c>
      <c r="C3" s="167" t="s">
        <v>1469</v>
      </c>
      <c r="D3" s="167" t="s">
        <v>1617</v>
      </c>
    </row>
    <row r="4" customFormat="false" ht="60" hidden="false" customHeight="true" outlineLevel="0" collapsed="false">
      <c r="A4" s="168" t="s">
        <v>1618</v>
      </c>
      <c r="B4" s="168" t="s">
        <v>1619</v>
      </c>
      <c r="C4" s="168" t="s">
        <v>1620</v>
      </c>
      <c r="D4" s="168" t="s">
        <v>1621</v>
      </c>
    </row>
    <row r="5" customFormat="false" ht="60" hidden="false" customHeight="true" outlineLevel="0" collapsed="false">
      <c r="A5" s="169" t="s">
        <v>1622</v>
      </c>
      <c r="B5" s="169" t="s">
        <v>1623</v>
      </c>
      <c r="C5" s="169" t="s">
        <v>1624</v>
      </c>
      <c r="D5" s="169" t="s">
        <v>1621</v>
      </c>
    </row>
    <row r="6" customFormat="false" ht="60" hidden="false" customHeight="true" outlineLevel="0" collapsed="false">
      <c r="A6" s="168" t="s">
        <v>1625</v>
      </c>
      <c r="B6" s="168" t="s">
        <v>1626</v>
      </c>
      <c r="C6" s="168" t="s">
        <v>1627</v>
      </c>
      <c r="D6" s="168" t="s">
        <v>1628</v>
      </c>
    </row>
    <row r="7" customFormat="false" ht="60" hidden="false" customHeight="true" outlineLevel="0" collapsed="false">
      <c r="A7" s="169" t="s">
        <v>1629</v>
      </c>
      <c r="B7" s="169" t="s">
        <v>1630</v>
      </c>
      <c r="C7" s="169" t="s">
        <v>1631</v>
      </c>
      <c r="D7" s="169" t="s">
        <v>1632</v>
      </c>
    </row>
    <row r="8" customFormat="false" ht="60" hidden="false" customHeight="true" outlineLevel="0" collapsed="false">
      <c r="A8" s="168" t="s">
        <v>1633</v>
      </c>
      <c r="B8" s="168" t="s">
        <v>1634</v>
      </c>
      <c r="C8" s="168" t="s">
        <v>1635</v>
      </c>
      <c r="D8" s="168" t="s">
        <v>1632</v>
      </c>
    </row>
    <row r="9" customFormat="false" ht="60" hidden="false" customHeight="true" outlineLevel="0" collapsed="false">
      <c r="A9" s="169" t="s">
        <v>1636</v>
      </c>
      <c r="B9" s="169" t="s">
        <v>1637</v>
      </c>
      <c r="C9" s="169" t="s">
        <v>1638</v>
      </c>
      <c r="D9" s="169" t="s">
        <v>1632</v>
      </c>
    </row>
    <row r="10" customFormat="false" ht="60" hidden="false" customHeight="true" outlineLevel="0" collapsed="false">
      <c r="A10" s="168" t="s">
        <v>1639</v>
      </c>
      <c r="B10" s="168" t="s">
        <v>1640</v>
      </c>
      <c r="C10" s="168" t="s">
        <v>1641</v>
      </c>
      <c r="D10" s="168" t="s">
        <v>1632</v>
      </c>
    </row>
    <row r="11" customFormat="false" ht="60" hidden="false" customHeight="true" outlineLevel="0" collapsed="false">
      <c r="A11" s="169" t="s">
        <v>1642</v>
      </c>
      <c r="B11" s="169" t="s">
        <v>1643</v>
      </c>
      <c r="C11" s="169" t="s">
        <v>1644</v>
      </c>
      <c r="D11" s="169" t="s">
        <v>1628</v>
      </c>
    </row>
    <row r="12" customFormat="false" ht="60" hidden="false" customHeight="true" outlineLevel="0" collapsed="false">
      <c r="A12" s="168" t="s">
        <v>1645</v>
      </c>
      <c r="B12" s="168" t="s">
        <v>1646</v>
      </c>
      <c r="C12" s="168" t="s">
        <v>1647</v>
      </c>
      <c r="D12" s="168" t="s">
        <v>1632</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70"/>
    <col collapsed="false" customWidth="true" hidden="false" outlineLevel="0" max="4" min="4" style="0" width="18"/>
  </cols>
  <sheetData>
    <row r="1" customFormat="false" ht="17.35" hidden="false" customHeight="false" outlineLevel="0" collapsed="false">
      <c r="A1" s="165" t="s">
        <v>1648</v>
      </c>
      <c r="B1" s="165"/>
      <c r="C1" s="165"/>
      <c r="D1" s="165"/>
    </row>
    <row r="2" customFormat="false" ht="15" hidden="false" customHeight="false" outlineLevel="0" collapsed="false">
      <c r="A2" s="166" t="s">
        <v>1649</v>
      </c>
      <c r="B2" s="166"/>
      <c r="C2" s="166"/>
      <c r="D2" s="166"/>
    </row>
    <row r="3" customFormat="false" ht="15" hidden="false" customHeight="false" outlineLevel="0" collapsed="false">
      <c r="A3" s="167" t="s">
        <v>1281</v>
      </c>
      <c r="B3" s="167" t="s">
        <v>1616</v>
      </c>
      <c r="C3" s="167" t="s">
        <v>1469</v>
      </c>
      <c r="D3" s="167" t="s">
        <v>1617</v>
      </c>
    </row>
    <row r="4" customFormat="false" ht="64.5" hidden="false" customHeight="true" outlineLevel="0" collapsed="false">
      <c r="A4" s="168" t="s">
        <v>1618</v>
      </c>
      <c r="B4" s="168" t="s">
        <v>1650</v>
      </c>
      <c r="C4" s="168" t="s">
        <v>1651</v>
      </c>
      <c r="D4" s="168" t="s">
        <v>1621</v>
      </c>
    </row>
    <row r="5" customFormat="false" ht="64.5" hidden="false" customHeight="true" outlineLevel="0" collapsed="false">
      <c r="A5" s="169" t="s">
        <v>1652</v>
      </c>
      <c r="B5" s="169" t="s">
        <v>1653</v>
      </c>
      <c r="C5" s="169" t="s">
        <v>1654</v>
      </c>
      <c r="D5" s="169" t="s">
        <v>1621</v>
      </c>
    </row>
    <row r="6" customFormat="false" ht="64.5" hidden="false" customHeight="true" outlineLevel="0" collapsed="false">
      <c r="A6" s="168" t="s">
        <v>1625</v>
      </c>
      <c r="B6" s="168" t="s">
        <v>1655</v>
      </c>
      <c r="C6" s="168" t="s">
        <v>1656</v>
      </c>
      <c r="D6" s="168" t="s">
        <v>1621</v>
      </c>
    </row>
    <row r="7" customFormat="false" ht="64.5" hidden="false" customHeight="true" outlineLevel="0" collapsed="false">
      <c r="A7" s="169" t="s">
        <v>1629</v>
      </c>
      <c r="B7" s="169" t="s">
        <v>1657</v>
      </c>
      <c r="C7" s="169" t="s">
        <v>1658</v>
      </c>
      <c r="D7" s="169" t="s">
        <v>1621</v>
      </c>
    </row>
    <row r="8" customFormat="false" ht="64.5" hidden="false" customHeight="true" outlineLevel="0" collapsed="false">
      <c r="A8" s="168" t="s">
        <v>1659</v>
      </c>
      <c r="B8" s="168" t="s">
        <v>1660</v>
      </c>
      <c r="C8" s="168" t="s">
        <v>1661</v>
      </c>
      <c r="D8" s="168" t="s">
        <v>1621</v>
      </c>
    </row>
    <row r="9" customFormat="false" ht="64.5" hidden="false" customHeight="true" outlineLevel="0" collapsed="false">
      <c r="A9" s="169" t="s">
        <v>1636</v>
      </c>
      <c r="B9" s="169" t="s">
        <v>1662</v>
      </c>
      <c r="C9" s="169" t="s">
        <v>1663</v>
      </c>
      <c r="D9" s="169" t="s">
        <v>1621</v>
      </c>
    </row>
    <row r="10" customFormat="false" ht="64.5" hidden="false" customHeight="true" outlineLevel="0" collapsed="false">
      <c r="A10" s="168" t="s">
        <v>1633</v>
      </c>
      <c r="B10" s="168" t="s">
        <v>1664</v>
      </c>
      <c r="C10" s="168" t="s">
        <v>1665</v>
      </c>
      <c r="D10" s="168" t="s">
        <v>1621</v>
      </c>
    </row>
    <row r="11" customFormat="false" ht="64.5" hidden="false" customHeight="true" outlineLevel="0" collapsed="false">
      <c r="A11" s="169" t="s">
        <v>1642</v>
      </c>
      <c r="B11" s="169" t="s">
        <v>1666</v>
      </c>
      <c r="C11" s="169" t="s">
        <v>1667</v>
      </c>
      <c r="D11" s="169" t="s">
        <v>1628</v>
      </c>
    </row>
    <row r="12" customFormat="false" ht="64.5" hidden="false" customHeight="true" outlineLevel="0" collapsed="false">
      <c r="A12" s="168" t="s">
        <v>1668</v>
      </c>
      <c r="B12" s="168" t="s">
        <v>1669</v>
      </c>
      <c r="C12" s="168" t="s">
        <v>1670</v>
      </c>
      <c r="D12" s="168" t="s">
        <v>1621</v>
      </c>
    </row>
    <row r="13" customFormat="false" ht="64.5" hidden="false" customHeight="true" outlineLevel="0" collapsed="false">
      <c r="A13" s="169" t="s">
        <v>1645</v>
      </c>
      <c r="B13" s="169" t="s">
        <v>1671</v>
      </c>
      <c r="C13" s="169" t="s">
        <v>1672</v>
      </c>
      <c r="D13" s="169" t="s">
        <v>1621</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2" min="1" style="0" width="18"/>
    <col collapsed="false" customWidth="true" hidden="false" outlineLevel="0" max="3" min="3" style="0" width="80"/>
    <col collapsed="false" customWidth="true" hidden="false" outlineLevel="0" max="5" min="4" style="0" width="12"/>
    <col collapsed="false" customWidth="true" hidden="false" outlineLevel="0" max="6" min="6" style="0" width="10"/>
  </cols>
  <sheetData>
    <row r="1" customFormat="false" ht="17.35" hidden="false" customHeight="false" outlineLevel="0" collapsed="false">
      <c r="A1" s="170" t="s">
        <v>1673</v>
      </c>
      <c r="B1" s="170"/>
      <c r="C1" s="170"/>
      <c r="D1" s="170"/>
      <c r="E1" s="170"/>
      <c r="F1" s="170"/>
    </row>
    <row r="2" customFormat="false" ht="15" hidden="false" customHeight="false" outlineLevel="0" collapsed="false">
      <c r="A2" s="171" t="s">
        <v>1674</v>
      </c>
      <c r="B2" s="171"/>
      <c r="C2" s="171"/>
      <c r="D2" s="171"/>
      <c r="E2" s="171"/>
      <c r="F2" s="171"/>
    </row>
    <row r="4" customFormat="false" ht="15" hidden="false" customHeight="false" outlineLevel="0" collapsed="false">
      <c r="A4" s="172" t="s">
        <v>1281</v>
      </c>
      <c r="B4" s="172" t="s">
        <v>4</v>
      </c>
      <c r="C4" s="172" t="s">
        <v>931</v>
      </c>
      <c r="D4" s="172" t="s">
        <v>1444</v>
      </c>
      <c r="E4" s="172" t="s">
        <v>1445</v>
      </c>
      <c r="F4" s="172" t="s">
        <v>150</v>
      </c>
    </row>
    <row r="5" customFormat="false" ht="15" hidden="false" customHeight="false" outlineLevel="0" collapsed="false">
      <c r="A5" s="173" t="s">
        <v>69</v>
      </c>
      <c r="B5" s="173" t="s">
        <v>1675</v>
      </c>
      <c r="C5" s="173" t="s">
        <v>1676</v>
      </c>
      <c r="D5" s="174" t="s">
        <v>1566</v>
      </c>
      <c r="E5" s="174" t="s">
        <v>1677</v>
      </c>
      <c r="F5" s="174" t="s">
        <v>159</v>
      </c>
    </row>
    <row r="6" customFormat="false" ht="15" hidden="false" customHeight="false" outlineLevel="0" collapsed="false">
      <c r="A6" s="173" t="s">
        <v>1678</v>
      </c>
      <c r="B6" s="173" t="s">
        <v>1546</v>
      </c>
      <c r="C6" s="173" t="s">
        <v>1679</v>
      </c>
      <c r="D6" s="174" t="s">
        <v>1595</v>
      </c>
      <c r="E6" s="174" t="s">
        <v>1480</v>
      </c>
      <c r="F6" s="174" t="s">
        <v>159</v>
      </c>
    </row>
    <row r="7" customFormat="false" ht="15" hidden="false" customHeight="false" outlineLevel="0" collapsed="false">
      <c r="A7" s="173" t="s">
        <v>1680</v>
      </c>
      <c r="B7" s="173" t="s">
        <v>1554</v>
      </c>
      <c r="C7" s="173" t="s">
        <v>1681</v>
      </c>
      <c r="D7" s="174" t="s">
        <v>1682</v>
      </c>
      <c r="E7" s="174" t="s">
        <v>1490</v>
      </c>
      <c r="F7" s="174" t="s">
        <v>159</v>
      </c>
    </row>
    <row r="8" customFormat="false" ht="15" hidden="false" customHeight="false" outlineLevel="0" collapsed="false">
      <c r="A8" s="173" t="s">
        <v>1683</v>
      </c>
      <c r="B8" s="173" t="s">
        <v>1173</v>
      </c>
      <c r="C8" s="173" t="s">
        <v>1684</v>
      </c>
      <c r="D8" s="174" t="s">
        <v>1548</v>
      </c>
      <c r="E8" s="174" t="s">
        <v>1685</v>
      </c>
      <c r="F8" s="174" t="s">
        <v>159</v>
      </c>
    </row>
    <row r="9" customFormat="false" ht="15" hidden="false" customHeight="false" outlineLevel="0" collapsed="false">
      <c r="A9" s="173" t="s">
        <v>1686</v>
      </c>
      <c r="B9" s="173" t="s">
        <v>1687</v>
      </c>
      <c r="C9" s="173" t="s">
        <v>1688</v>
      </c>
      <c r="D9" s="174" t="s">
        <v>1682</v>
      </c>
      <c r="E9" s="174" t="s">
        <v>1689</v>
      </c>
      <c r="F9" s="174" t="s">
        <v>159</v>
      </c>
    </row>
    <row r="10" customFormat="false" ht="15" hidden="false" customHeight="false" outlineLevel="0" collapsed="false">
      <c r="A10" s="173" t="s">
        <v>1690</v>
      </c>
      <c r="B10" s="173" t="s">
        <v>1568</v>
      </c>
      <c r="C10" s="173" t="s">
        <v>1691</v>
      </c>
      <c r="D10" s="174" t="s">
        <v>1566</v>
      </c>
      <c r="E10" s="174" t="s">
        <v>1677</v>
      </c>
      <c r="F10" s="174" t="s">
        <v>159</v>
      </c>
    </row>
    <row r="11" customFormat="false" ht="15" hidden="false" customHeight="false" outlineLevel="0" collapsed="false">
      <c r="A11" s="173" t="s">
        <v>1692</v>
      </c>
      <c r="B11" s="173" t="s">
        <v>34</v>
      </c>
      <c r="C11" s="173" t="s">
        <v>1693</v>
      </c>
      <c r="D11" s="174" t="s">
        <v>1566</v>
      </c>
      <c r="E11" s="174" t="s">
        <v>1694</v>
      </c>
      <c r="F11" s="174" t="s">
        <v>159</v>
      </c>
    </row>
    <row r="12" customFormat="false" ht="15" hidden="false" customHeight="false" outlineLevel="0" collapsed="false">
      <c r="A12" s="173" t="s">
        <v>1695</v>
      </c>
      <c r="B12" s="173" t="s">
        <v>1571</v>
      </c>
      <c r="C12" s="173" t="s">
        <v>1696</v>
      </c>
      <c r="D12" s="174" t="s">
        <v>110</v>
      </c>
      <c r="E12" s="174" t="s">
        <v>1697</v>
      </c>
      <c r="F12" s="174" t="s">
        <v>159</v>
      </c>
    </row>
    <row r="13" customFormat="false" ht="15" hidden="false" customHeight="false" outlineLevel="0" collapsed="false">
      <c r="A13" s="173" t="s">
        <v>1698</v>
      </c>
      <c r="B13" s="173" t="s">
        <v>1561</v>
      </c>
      <c r="C13" s="173" t="s">
        <v>1699</v>
      </c>
      <c r="D13" s="174" t="s">
        <v>1700</v>
      </c>
      <c r="E13" s="174" t="s">
        <v>1495</v>
      </c>
      <c r="F13" s="174" t="s">
        <v>159</v>
      </c>
    </row>
    <row r="14" customFormat="false" ht="15" hidden="false" customHeight="false" outlineLevel="0" collapsed="false">
      <c r="A14" s="173" t="s">
        <v>81</v>
      </c>
      <c r="B14" s="173" t="s">
        <v>304</v>
      </c>
      <c r="C14" s="173" t="s">
        <v>1701</v>
      </c>
      <c r="D14" s="174" t="s">
        <v>1548</v>
      </c>
      <c r="E14" s="174" t="s">
        <v>1490</v>
      </c>
      <c r="F14" s="174" t="s">
        <v>159</v>
      </c>
    </row>
    <row r="16" customFormat="false" ht="15" hidden="false" customHeight="false" outlineLevel="0" collapsed="false">
      <c r="A16" s="175" t="s">
        <v>1456</v>
      </c>
      <c r="D16" s="176" t="s">
        <v>1702</v>
      </c>
      <c r="E16" s="176" t="s">
        <v>1703</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28"/>
    <col collapsed="false" customWidth="true" hidden="false" outlineLevel="0" max="4" min="4" style="0" width="34"/>
    <col collapsed="false" customWidth="true" hidden="false" outlineLevel="0" max="5" min="5" style="0" width="36"/>
    <col collapsed="false" customWidth="true" hidden="false" outlineLevel="0" max="6" min="6" style="0" width="28"/>
    <col collapsed="false" customWidth="true" hidden="false" outlineLevel="0" max="7" min="7" style="0" width="10"/>
  </cols>
  <sheetData>
    <row r="1" customFormat="false" ht="15" hidden="false" customHeight="false" outlineLevel="0" collapsed="false">
      <c r="A1" s="177" t="s">
        <v>1281</v>
      </c>
      <c r="B1" s="177" t="s">
        <v>4</v>
      </c>
      <c r="C1" s="177" t="s">
        <v>1704</v>
      </c>
      <c r="D1" s="177" t="s">
        <v>1705</v>
      </c>
      <c r="E1" s="177" t="s">
        <v>1352</v>
      </c>
      <c r="F1" s="177" t="s">
        <v>1706</v>
      </c>
      <c r="G1" s="177" t="s">
        <v>150</v>
      </c>
    </row>
    <row r="2" customFormat="false" ht="57.45" hidden="false" customHeight="false" outlineLevel="0" collapsed="false">
      <c r="A2" s="178" t="s">
        <v>14</v>
      </c>
      <c r="B2" s="178" t="s">
        <v>1675</v>
      </c>
      <c r="C2" s="178" t="s">
        <v>1707</v>
      </c>
      <c r="D2" s="178" t="s">
        <v>1708</v>
      </c>
      <c r="E2" s="178" t="s">
        <v>1709</v>
      </c>
      <c r="F2" s="178" t="s">
        <v>1710</v>
      </c>
      <c r="G2" s="178" t="s">
        <v>159</v>
      </c>
    </row>
    <row r="3" customFormat="false" ht="57.45" hidden="false" customHeight="false" outlineLevel="0" collapsed="false">
      <c r="A3" s="179" t="s">
        <v>31</v>
      </c>
      <c r="B3" s="179" t="s">
        <v>1568</v>
      </c>
      <c r="C3" s="179" t="s">
        <v>1711</v>
      </c>
      <c r="D3" s="179" t="s">
        <v>1712</v>
      </c>
      <c r="E3" s="179" t="s">
        <v>1713</v>
      </c>
      <c r="F3" s="179" t="s">
        <v>1714</v>
      </c>
      <c r="G3" s="179" t="s">
        <v>159</v>
      </c>
    </row>
    <row r="4" customFormat="false" ht="57.45" hidden="false" customHeight="false" outlineLevel="0" collapsed="false">
      <c r="A4" s="178" t="s">
        <v>37</v>
      </c>
      <c r="B4" s="178" t="s">
        <v>1715</v>
      </c>
      <c r="C4" s="178" t="s">
        <v>154</v>
      </c>
      <c r="D4" s="178" t="s">
        <v>1716</v>
      </c>
      <c r="E4" s="178" t="s">
        <v>1717</v>
      </c>
      <c r="F4" s="178" t="s">
        <v>1718</v>
      </c>
      <c r="G4" s="178" t="s">
        <v>159</v>
      </c>
    </row>
    <row r="5" customFormat="false" ht="46.25" hidden="false" customHeight="false" outlineLevel="0" collapsed="false">
      <c r="A5" s="179" t="s">
        <v>48</v>
      </c>
      <c r="B5" s="179" t="s">
        <v>1546</v>
      </c>
      <c r="C5" s="179" t="s">
        <v>1159</v>
      </c>
      <c r="D5" s="179" t="s">
        <v>1719</v>
      </c>
      <c r="E5" s="179" t="s">
        <v>1720</v>
      </c>
      <c r="F5" s="179" t="s">
        <v>1721</v>
      </c>
      <c r="G5" s="179" t="s">
        <v>159</v>
      </c>
    </row>
    <row r="6" customFormat="false" ht="57.45" hidden="false" customHeight="false" outlineLevel="0" collapsed="false">
      <c r="A6" s="178" t="s">
        <v>20</v>
      </c>
      <c r="B6" s="178" t="s">
        <v>1554</v>
      </c>
      <c r="C6" s="178" t="s">
        <v>1722</v>
      </c>
      <c r="D6" s="178" t="s">
        <v>1723</v>
      </c>
      <c r="E6" s="178" t="s">
        <v>1724</v>
      </c>
      <c r="F6" s="178" t="s">
        <v>1725</v>
      </c>
      <c r="G6" s="178" t="s">
        <v>159</v>
      </c>
    </row>
    <row r="7" customFormat="false" ht="57.45" hidden="false" customHeight="false" outlineLevel="0" collapsed="false">
      <c r="A7" s="179" t="s">
        <v>42</v>
      </c>
      <c r="B7" s="179" t="s">
        <v>1173</v>
      </c>
      <c r="C7" s="179" t="s">
        <v>1726</v>
      </c>
      <c r="D7" s="179" t="s">
        <v>1727</v>
      </c>
      <c r="E7" s="179" t="s">
        <v>1728</v>
      </c>
      <c r="F7" s="179" t="s">
        <v>1729</v>
      </c>
      <c r="G7" s="179" t="s">
        <v>159</v>
      </c>
    </row>
    <row r="8" customFormat="false" ht="57.45" hidden="false" customHeight="false" outlineLevel="0" collapsed="false">
      <c r="A8" s="178" t="s">
        <v>26</v>
      </c>
      <c r="B8" s="178" t="s">
        <v>1571</v>
      </c>
      <c r="C8" s="178" t="s">
        <v>1174</v>
      </c>
      <c r="D8" s="178" t="s">
        <v>1730</v>
      </c>
      <c r="E8" s="178" t="s">
        <v>1731</v>
      </c>
      <c r="F8" s="178" t="s">
        <v>1732</v>
      </c>
      <c r="G8" s="178" t="s">
        <v>159</v>
      </c>
    </row>
    <row r="9" customFormat="false" ht="57.45" hidden="false" customHeight="false" outlineLevel="0" collapsed="false">
      <c r="A9" s="179" t="s">
        <v>58</v>
      </c>
      <c r="B9" s="179" t="s">
        <v>1561</v>
      </c>
      <c r="C9" s="179" t="s">
        <v>1733</v>
      </c>
      <c r="D9" s="179" t="s">
        <v>1734</v>
      </c>
      <c r="E9" s="179" t="s">
        <v>1735</v>
      </c>
      <c r="F9" s="179" t="s">
        <v>1736</v>
      </c>
      <c r="G9" s="179" t="s">
        <v>159</v>
      </c>
    </row>
    <row r="10" customFormat="false" ht="57.45" hidden="false" customHeight="false" outlineLevel="0" collapsed="false">
      <c r="A10" s="178" t="s">
        <v>52</v>
      </c>
      <c r="B10" s="178" t="s">
        <v>304</v>
      </c>
      <c r="C10" s="178" t="s">
        <v>1737</v>
      </c>
      <c r="D10" s="178" t="s">
        <v>1738</v>
      </c>
      <c r="E10" s="178" t="s">
        <v>1739</v>
      </c>
      <c r="F10" s="178" t="s">
        <v>1740</v>
      </c>
      <c r="G10" s="178" t="s">
        <v>159</v>
      </c>
    </row>
    <row r="11" customFormat="false" ht="57.45" hidden="false" customHeight="false" outlineLevel="0" collapsed="false">
      <c r="A11" s="179" t="s">
        <v>224</v>
      </c>
      <c r="B11" s="179" t="s">
        <v>1687</v>
      </c>
      <c r="C11" s="179" t="s">
        <v>1741</v>
      </c>
      <c r="D11" s="179" t="s">
        <v>1742</v>
      </c>
      <c r="E11" s="179" t="s">
        <v>1743</v>
      </c>
      <c r="F11" s="179" t="s">
        <v>1744</v>
      </c>
      <c r="G11" s="179" t="s">
        <v>159</v>
      </c>
    </row>
    <row r="13" customFormat="false" ht="23.85" hidden="false" customHeight="true" outlineLevel="0" collapsed="false">
      <c r="A13" s="180" t="s">
        <v>1745</v>
      </c>
      <c r="B13" s="181" t="s">
        <v>1746</v>
      </c>
      <c r="C13" s="181"/>
      <c r="D13" s="181"/>
      <c r="E13" s="181"/>
      <c r="F13" s="181"/>
      <c r="G13" s="181"/>
    </row>
    <row r="14" customFormat="false" ht="23.85" hidden="false" customHeight="true" outlineLevel="0" collapsed="false">
      <c r="A14" s="182" t="s">
        <v>1747</v>
      </c>
      <c r="B14" s="181" t="s">
        <v>1748</v>
      </c>
      <c r="C14" s="181"/>
      <c r="D14" s="181"/>
      <c r="E14" s="181"/>
      <c r="F14" s="181"/>
      <c r="G14" s="181"/>
    </row>
  </sheetData>
  <mergeCells count="2">
    <mergeCell ref="B13:G13"/>
    <mergeCell ref="B14:G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LibreOffice/25.2.6.2$Linux_AARCH64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2026-03-06T14:15:01Z</dcterms:created>
  <dc:creator>openpyxl</dc:creator>
  <dc:description/>
  <dc:language>en-US</dc:language>
  <cp:lastModifiedBy>Kiranjeet Seehra</cp:lastModifiedBy>
  <dcterms:modified xsi:type="dcterms:W3CDTF">2026-03-10T20:00:50Z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