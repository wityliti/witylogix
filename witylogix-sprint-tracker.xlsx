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6" autoFilterDateGrouping="1"/>
  </bookViews>
  <sheets>
    <sheet xmlns:r="http://schemas.openxmlformats.org/officeDocument/2006/relationships" name="Team Directory" sheetId="1" state="visible" r:id="rId1"/>
    <sheet xmlns:r="http://schemas.openxmlformats.org/officeDocument/2006/relationships" name="Sprint 4.6 Plan (Done)" sheetId="2" state="visible" r:id="rId2"/>
    <sheet xmlns:r="http://schemas.openxmlformats.org/officeDocument/2006/relationships" name="Executive Summary" sheetId="3" state="visible" r:id="rId3"/>
    <sheet xmlns:r="http://schemas.openxmlformats.org/officeDocument/2006/relationships" name="Competitive Gap Tracker" sheetId="4" state="visible" r:id="rId4"/>
    <sheet xmlns:r="http://schemas.openxmlformats.org/officeDocument/2006/relationships" name="Data Models Gap" sheetId="5" state="visible" r:id="rId5"/>
    <sheet xmlns:r="http://schemas.openxmlformats.org/officeDocument/2006/relationships" name="Feature Gap - Pages" sheetId="6" state="visible" r:id="rId6"/>
    <sheet xmlns:r="http://schemas.openxmlformats.org/officeDocument/2006/relationships" name="Service &amp; API Gap" sheetId="7" state="visible" r:id="rId7"/>
    <sheet xmlns:r="http://schemas.openxmlformats.org/officeDocument/2006/relationships" name="Infrastructure Gap" sheetId="8" state="visible" r:id="rId8"/>
    <sheet xmlns:r="http://schemas.openxmlformats.org/officeDocument/2006/relationships" name="Priority Roadmap" sheetId="9" state="visible" r:id="rId9"/>
    <sheet xmlns:r="http://schemas.openxmlformats.org/officeDocument/2006/relationships" name="Statistics" sheetId="10" state="visible" r:id="rId10"/>
    <sheet xmlns:r="http://schemas.openxmlformats.org/officeDocument/2006/relationships" name="Standup Notes &amp; Actions" sheetId="11" state="visible" r:id="rId11"/>
    <sheet xmlns:r="http://schemas.openxmlformats.org/officeDocument/2006/relationships" name="Sprint 3.5 Plan" sheetId="12" state="visible" r:id="rId12"/>
    <sheet xmlns:r="http://schemas.openxmlformats.org/officeDocument/2006/relationships" name="Sprint 3.6 Plan" sheetId="13" state="visible" r:id="rId13"/>
    <sheet xmlns:r="http://schemas.openxmlformats.org/officeDocument/2006/relationships" name="Sprint 3.7 Plan" sheetId="14" state="visible" r:id="rId14"/>
    <sheet xmlns:r="http://schemas.openxmlformats.org/officeDocument/2006/relationships" name="Sprint 3.8 Plan" sheetId="15" state="visible" r:id="rId15"/>
    <sheet xmlns:r="http://schemas.openxmlformats.org/officeDocument/2006/relationships" name="Sprint 3.9 Plan" sheetId="16" state="visible" r:id="rId16"/>
    <sheet xmlns:r="http://schemas.openxmlformats.org/officeDocument/2006/relationships" name="Sprint 4.0 Plan" sheetId="17" state="visible" r:id="rId17"/>
    <sheet xmlns:r="http://schemas.openxmlformats.org/officeDocument/2006/relationships" name="Sprint 4.1 Plan" sheetId="18" state="visible" r:id="rId18"/>
    <sheet xmlns:r="http://schemas.openxmlformats.org/officeDocument/2006/relationships" name="Sprint 4.2 Plan" sheetId="19" state="visible" r:id="rId19"/>
    <sheet xmlns:r="http://schemas.openxmlformats.org/officeDocument/2006/relationships" name="Sprint 4.3 Plan" sheetId="20" state="visible" r:id="rId20"/>
    <sheet xmlns:r="http://schemas.openxmlformats.org/officeDocument/2006/relationships" name="Sprint 4.4 Plan" sheetId="21" state="visible" r:id="rId21"/>
    <sheet xmlns:r="http://schemas.openxmlformats.org/officeDocument/2006/relationships" name="Sprint 4.5 Plan (Done)" sheetId="22" state="visible" r:id="rId22"/>
    <sheet xmlns:r="http://schemas.openxmlformats.org/officeDocument/2006/relationships" name="Sprint 4.7 Plan (Done)" sheetId="23" state="visible" r:id="rId23"/>
    <sheet xmlns:r="http://schemas.openxmlformats.org/officeDocument/2006/relationships" name="Sprint 4.8 Plan" sheetId="24" state="visible" r:id="rId24"/>
  </sheets>
  <definedNames>
    <definedName name="_xlnm._FilterDatabase" localSheetId="4" hidden="1">'Data Models Gap'!$A$1:$K$40</definedName>
    <definedName name="_xlnm._FilterDatabase" localSheetId="5" hidden="1">'Feature Gap - Pages'!$A$1:$J$34</definedName>
    <definedName name="_xlnm._FilterDatabase" localSheetId="6" hidden="1">'Service &amp; API Gap'!$A$1:$J$34</definedName>
    <definedName name="_xlnm._FilterDatabase" localSheetId="7" hidden="1">'Infrastructure Gap'!$A$1:$J$21</definedName>
    <definedName name="_xlnm._FilterDatabase" localSheetId="8" hidden="1">'Priority Roadmap'!$A$1:$K$36</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74">
    <font>
      <name val="Calibri"/>
      <charset val="1"/>
      <family val="2"/>
      <color theme="1"/>
      <sz val="11"/>
    </font>
    <font>
      <name val="Arial"/>
      <family val="0"/>
      <sz val="10"/>
    </font>
    <font>
      <name val="Arial"/>
      <family val="0"/>
      <sz val="10"/>
    </font>
    <font>
      <name val="Arial"/>
      <family val="0"/>
      <sz val="10"/>
    </font>
    <font>
      <name val="Arial"/>
      <charset val="1"/>
      <family val="0"/>
      <b val="1"/>
      <color rgb="FFF5A623"/>
      <sz val="16"/>
    </font>
    <font>
      <name val="Arial"/>
      <charset val="1"/>
      <family val="0"/>
      <color rgb="FFA0A0A0"/>
      <sz val="11"/>
    </font>
    <font>
      <name val="Arial"/>
      <charset val="1"/>
      <family val="0"/>
      <b val="1"/>
      <color rgb="FFF5A623"/>
      <sz val="11"/>
    </font>
    <font>
      <name val="Arial"/>
      <charset val="1"/>
      <family val="0"/>
      <b val="1"/>
      <color rgb="FFFFFFFF"/>
      <sz val="10"/>
    </font>
    <font>
      <name val="Arial"/>
      <charset val="1"/>
      <family val="0"/>
      <color rgb="FFE0E0E0"/>
      <sz val="10"/>
    </font>
    <font>
      <name val="Arial"/>
      <charset val="1"/>
      <family val="0"/>
      <b val="1"/>
      <color rgb="FF60A5FA"/>
      <sz val="11"/>
    </font>
    <font>
      <name val="Arial"/>
      <charset val="1"/>
      <family val="0"/>
      <b val="1"/>
      <color rgb="FF818CF8"/>
      <sz val="11"/>
    </font>
    <font>
      <name val="Arial"/>
      <charset val="1"/>
      <family val="0"/>
      <b val="1"/>
      <color rgb="FF4ADE80"/>
      <sz val="11"/>
    </font>
    <font>
      <name val="Arial"/>
      <charset val="1"/>
      <family val="0"/>
      <b val="1"/>
      <color rgb="FF34D399"/>
      <sz val="11"/>
    </font>
    <font>
      <name val="Arial"/>
      <charset val="1"/>
      <family val="0"/>
      <b val="1"/>
      <color rgb="FFF472B6"/>
      <sz val="11"/>
    </font>
    <font>
      <name val="Arial"/>
      <charset val="1"/>
      <family val="0"/>
      <b val="1"/>
      <color rgb="FFFB923C"/>
      <sz val="11"/>
    </font>
    <font>
      <name val="Arial"/>
      <charset val="1"/>
      <family val="0"/>
      <b val="1"/>
      <color rgb="FFA78BFA"/>
      <sz val="11"/>
    </font>
    <font>
      <name val="Arial"/>
      <charset val="1"/>
      <family val="0"/>
      <b val="1"/>
      <color rgb="FFFACC15"/>
      <sz val="11"/>
    </font>
    <font>
      <name val="Arial"/>
      <charset val="1"/>
      <family val="0"/>
      <b val="1"/>
      <color rgb="FFF5A623"/>
      <sz val="14"/>
    </font>
    <font>
      <name val="Cambria"/>
      <charset val="1"/>
      <family val="0"/>
      <b val="1"/>
      <color rgb="FFFFFFFF"/>
      <sz val="12"/>
    </font>
    <font>
      <name val="Cambria"/>
      <charset val="1"/>
      <family val="0"/>
      <b val="1"/>
      <sz val="11"/>
    </font>
    <font>
      <name val="Arial"/>
      <charset val="1"/>
      <family val="0"/>
      <b val="1"/>
      <color rgb="FFF5A623"/>
      <sz val="18"/>
    </font>
    <font>
      <name val="Arial"/>
      <charset val="1"/>
      <family val="0"/>
      <b val="1"/>
      <color rgb="FFFFFFFF"/>
      <sz val="11"/>
    </font>
    <font>
      <name val="Arial"/>
      <charset val="1"/>
      <family val="0"/>
      <sz val="10"/>
    </font>
    <font>
      <name val="Arial"/>
      <charset val="1"/>
      <family val="0"/>
      <b val="1"/>
      <sz val="10"/>
    </font>
    <font>
      <name val="Arial"/>
      <charset val="1"/>
      <family val="0"/>
      <b val="1"/>
      <color rgb="FFE63946"/>
      <sz val="12"/>
    </font>
    <font>
      <name val="Arial"/>
      <charset val="1"/>
      <family val="0"/>
      <color rgb="FFFACC15"/>
      <sz val="10"/>
    </font>
    <font>
      <name val="Arial"/>
      <charset val="1"/>
      <family val="0"/>
      <color rgb="FFF87171"/>
      <sz val="10"/>
    </font>
    <font>
      <name val="Arial"/>
      <charset val="1"/>
      <family val="0"/>
      <color rgb="FF666666"/>
      <sz val="14"/>
    </font>
    <font>
      <name val="Arial"/>
      <charset val="1"/>
      <family val="0"/>
      <b val="1"/>
      <color rgb="FF60A5FA"/>
      <sz val="10"/>
    </font>
    <font>
      <name val="Arial"/>
      <charset val="1"/>
      <family val="0"/>
      <color rgb="FF888888"/>
      <sz val="10"/>
    </font>
    <font>
      <name val="Arial"/>
      <charset val="1"/>
      <family val="0"/>
      <b val="1"/>
      <color rgb="FFF5A623"/>
      <sz val="10"/>
    </font>
    <font>
      <name val="Arial"/>
      <charset val="1"/>
      <family val="0"/>
      <color rgb="FF60A5FA"/>
      <sz val="10"/>
    </font>
    <font>
      <name val="Arial"/>
      <charset val="1"/>
      <family val="0"/>
      <b val="1"/>
      <color rgb="FFF472B6"/>
      <sz val="10"/>
    </font>
    <font>
      <name val="Arial"/>
      <charset val="1"/>
      <family val="0"/>
      <color rgb="FF4ADE80"/>
      <sz val="10"/>
    </font>
    <font>
      <name val="Arial"/>
      <charset val="1"/>
      <family val="0"/>
      <color rgb="FF4ADE80"/>
      <sz val="14"/>
    </font>
    <font>
      <name val="Arial"/>
      <charset val="1"/>
      <family val="0"/>
      <color rgb="FF666666"/>
      <sz val="10"/>
    </font>
    <font>
      <name val="Arial"/>
      <charset val="1"/>
      <family val="0"/>
      <b val="1"/>
      <color rgb="FF818CF8"/>
      <sz val="10"/>
    </font>
    <font>
      <name val="Cambria"/>
      <charset val="1"/>
      <family val="0"/>
      <color rgb="FF006100"/>
      <sz val="11"/>
    </font>
    <font>
      <name val="Arial"/>
      <charset val="1"/>
      <family val="0"/>
      <b val="1"/>
      <color rgb="FFFB923C"/>
      <sz val="10"/>
    </font>
    <font>
      <name val="Arial"/>
      <charset val="1"/>
      <family val="0"/>
      <b val="1"/>
      <color rgb="FF4ADE80"/>
      <sz val="10"/>
    </font>
    <font>
      <name val="Calibri"/>
      <charset val="1"/>
      <family val="0"/>
      <b val="1"/>
      <color rgb="FFE67E22"/>
      <sz val="11"/>
    </font>
    <font>
      <name val="Arial"/>
      <charset val="1"/>
      <family val="0"/>
      <b val="1"/>
      <color rgb="FF34D399"/>
      <sz val="10"/>
    </font>
    <font>
      <name val="Arial"/>
      <charset val="1"/>
      <family val="0"/>
      <b val="1"/>
      <sz val="12"/>
    </font>
    <font>
      <name val="Arial"/>
      <charset val="1"/>
      <family val="0"/>
      <color rgb="FFCCCCCC"/>
      <sz val="10"/>
    </font>
    <font>
      <name val="Arial"/>
      <charset val="1"/>
      <family val="0"/>
      <b val="1"/>
      <color rgb="FFA78BFA"/>
      <sz val="10"/>
    </font>
    <font>
      <name val="Arial"/>
      <charset val="1"/>
      <family val="0"/>
      <color rgb="FFA78BFA"/>
      <sz val="10"/>
    </font>
    <font>
      <name val="Arial"/>
      <charset val="1"/>
      <family val="0"/>
      <color rgb="FFFB923C"/>
      <sz val="10"/>
    </font>
    <font>
      <name val="Arial"/>
      <charset val="1"/>
      <family val="0"/>
      <b val="1"/>
      <color rgb="FF1B2A4A"/>
      <sz val="12"/>
    </font>
    <font>
      <name val="Cambria"/>
      <charset val="1"/>
      <family val="0"/>
      <b val="1"/>
      <color rgb="FFFFFFFF"/>
      <sz val="11"/>
    </font>
    <font>
      <name val="Cambria"/>
      <charset val="1"/>
      <family val="0"/>
      <b val="1"/>
      <sz val="10"/>
    </font>
    <font>
      <name val="Calibri"/>
      <charset val="1"/>
      <family val="0"/>
      <b val="1"/>
      <color rgb="FFFFFFFF"/>
      <sz val="11"/>
    </font>
    <font>
      <name val="Arial"/>
      <charset val="1"/>
      <family val="0"/>
      <b val="1"/>
      <sz val="11"/>
    </font>
    <font>
      <name val="Cambria"/>
      <charset val="1"/>
      <family val="0"/>
      <b val="1"/>
      <color rgb="FFFFFFFF"/>
      <sz val="10"/>
    </font>
    <font>
      <name val="Cambria"/>
      <charset val="1"/>
      <family val="0"/>
      <sz val="11"/>
    </font>
    <font>
      <name val="Cambria"/>
      <charset val="1"/>
      <family val="0"/>
      <b val="1"/>
      <sz val="12"/>
    </font>
    <font>
      <name val="Cambria"/>
      <charset val="1"/>
      <family val="0"/>
      <b val="1"/>
      <sz val="9"/>
    </font>
    <font>
      <name val="Calibri"/>
      <charset val="1"/>
      <family val="0"/>
      <b val="1"/>
      <color rgb="FF4472C4"/>
      <sz val="12"/>
    </font>
    <font>
      <name val="Calibri"/>
      <charset val="1"/>
      <family val="0"/>
      <b val="1"/>
      <sz val="10"/>
    </font>
    <font>
      <name val="Calibri"/>
      <charset val="1"/>
      <family val="0"/>
      <color rgb="FF228B22"/>
      <sz val="11"/>
    </font>
    <font>
      <name val="Cambria"/>
      <charset val="1"/>
      <family val="0"/>
      <b val="1"/>
      <sz val="14"/>
    </font>
    <font>
      <name val="Cambria"/>
      <charset val="1"/>
      <family val="0"/>
      <i val="1"/>
      <color rgb="FF666666"/>
      <sz val="11"/>
    </font>
    <font>
      <name val="Cambria"/>
      <charset val="1"/>
      <family val="0"/>
      <b val="1"/>
      <color rgb="FF333399"/>
      <sz val="12"/>
    </font>
    <font>
      <name val="Cambria"/>
      <charset val="1"/>
      <family val="0"/>
      <sz val="10"/>
    </font>
    <font>
      <name val="Cambria"/>
      <charset val="1"/>
      <family val="0"/>
      <color rgb="FFFF8C00"/>
      <sz val="11"/>
    </font>
    <font>
      <name val="Cambria"/>
      <charset val="1"/>
      <family val="0"/>
      <b val="1"/>
      <color rgb="FFFFFFFF"/>
      <sz val="14"/>
    </font>
    <font>
      <name val="Cambria"/>
      <charset val="1"/>
      <family val="0"/>
      <i val="1"/>
      <color rgb="FFCCCCCC"/>
      <sz val="10"/>
    </font>
    <font>
      <name val="Arial"/>
      <charset val="1"/>
      <family val="0"/>
      <b val="1"/>
      <color rgb="FFFFFFFF"/>
      <sz val="14"/>
    </font>
    <font>
      <name val="Arial"/>
      <charset val="1"/>
      <family val="0"/>
      <i val="1"/>
      <color rgb="FF888888"/>
      <sz val="10"/>
    </font>
    <font>
      <name val="Cambria"/>
      <charset val="1"/>
      <family val="0"/>
      <b val="1"/>
      <color rgb="FFE63946"/>
      <sz val="12"/>
    </font>
    <font>
      <name val="Cambria"/>
      <charset val="1"/>
      <family val="0"/>
      <b val="1"/>
      <color rgb="FF0F3460"/>
      <sz val="11"/>
    </font>
    <font>
      <b val="1"/>
      <color rgb="001a5276"/>
      <sz val="12"/>
    </font>
    <font>
      <b val="1"/>
      <color rgb="00FFFFFF"/>
      <sz val="11"/>
    </font>
    <font>
      <sz val="10"/>
    </font>
    <font>
      <sz val="11"/>
    </font>
  </fonts>
  <fills count="44">
    <fill>
      <patternFill/>
    </fill>
    <fill>
      <patternFill patternType="gray125"/>
    </fill>
    <fill>
      <patternFill patternType="solid">
        <fgColor rgb="FF0A0A0C"/>
        <bgColor rgb="FF0F0F1A"/>
      </patternFill>
    </fill>
    <fill>
      <patternFill patternType="solid">
        <fgColor rgb="FF1B1B2F"/>
        <bgColor rgb="FF1A1A2E"/>
      </patternFill>
    </fill>
    <fill>
      <patternFill patternType="solid">
        <fgColor rgb="FF16162B"/>
        <bgColor rgb="FF1A1A2E"/>
      </patternFill>
    </fill>
    <fill>
      <patternFill patternType="solid">
        <fgColor rgb="FF0F0F1A"/>
        <bgColor rgb="FF0A0A0C"/>
      </patternFill>
    </fill>
    <fill>
      <patternFill patternType="solid">
        <fgColor rgb="FF1E3A5F"/>
        <bgColor rgb="FF0F3460"/>
      </patternFill>
    </fill>
    <fill>
      <patternFill patternType="solid">
        <fgColor rgb="FFDBEAFE"/>
        <bgColor rgb="FFDCEAFB"/>
      </patternFill>
    </fill>
    <fill>
      <patternFill patternType="solid">
        <fgColor rgb="FF1B2A4A"/>
        <bgColor rgb="FF16213E"/>
      </patternFill>
    </fill>
    <fill>
      <patternFill patternType="solid">
        <fgColor rgb="FFFEE2E2"/>
        <bgColor rgb="FFFCE4EC"/>
      </patternFill>
    </fill>
    <fill>
      <patternFill patternType="solid">
        <fgColor rgb="FFFEF3C7"/>
        <bgColor rgb="FFFFF2CC"/>
      </patternFill>
    </fill>
    <fill>
      <patternFill patternType="solid">
        <fgColor rgb="FFF3F4F6"/>
        <bgColor rgb="FFF2F2F2"/>
      </patternFill>
    </fill>
    <fill>
      <patternFill patternType="solid">
        <fgColor rgb="FFC6EFCE"/>
        <bgColor rgb="FFD9E2F3"/>
      </patternFill>
    </fill>
    <fill>
      <patternFill patternType="solid">
        <fgColor rgb="FF3B0D0D"/>
        <bgColor rgb="FF1E1E2E"/>
      </patternFill>
    </fill>
    <fill>
      <patternFill patternType="solid">
        <fgColor rgb="FF1A1A2E"/>
        <bgColor rgb="FF1B1B2F"/>
      </patternFill>
    </fill>
    <fill>
      <patternFill patternType="darkGray">
        <fgColor rgb="FF063E1B"/>
        <bgColor rgb="FF0F3460"/>
      </patternFill>
    </fill>
    <fill>
      <patternFill patternType="solid">
        <fgColor rgb="FF2B2B3D"/>
        <bgColor rgb="FF2D2D44"/>
      </patternFill>
    </fill>
    <fill>
      <patternFill patternType="solid">
        <fgColor rgb="FF3B3500"/>
        <bgColor rgb="FF2B2B3D"/>
      </patternFill>
    </fill>
    <fill>
      <patternFill patternType="solid">
        <fgColor rgb="FFFFEB9C"/>
        <bgColor rgb="FFFEF3C7"/>
      </patternFill>
    </fill>
    <fill>
      <patternFill patternType="solid">
        <fgColor rgb="FF1A5276"/>
        <bgColor rgb="FF2F5496"/>
      </patternFill>
    </fill>
    <fill>
      <patternFill patternType="solid">
        <fgColor rgb="FFE8D44D"/>
        <bgColor rgb="FFFACC15"/>
      </patternFill>
    </fill>
    <fill>
      <patternFill patternType="solid">
        <fgColor rgb="FF4472C4"/>
        <bgColor rgb="FF2F5496"/>
      </patternFill>
    </fill>
    <fill>
      <patternFill patternType="solid">
        <fgColor rgb="FF1E1E2E"/>
        <bgColor rgb="FF1B1B2F"/>
      </patternFill>
    </fill>
    <fill>
      <patternFill patternType="solid">
        <fgColor rgb="FFDCDCDC"/>
        <bgColor rgb="FFD9E2F3"/>
      </patternFill>
    </fill>
    <fill>
      <patternFill patternType="solid">
        <fgColor rgb="FFD9E2F3"/>
        <bgColor rgb="FFDCEAFB"/>
      </patternFill>
    </fill>
    <fill>
      <patternFill patternType="solid">
        <fgColor rgb="FF7030A0"/>
        <bgColor rgb="FF39396B"/>
      </patternFill>
    </fill>
    <fill>
      <patternFill patternType="solid">
        <fgColor rgb="FFD5C8F0"/>
        <bgColor rgb="FFCCCCCC"/>
      </patternFill>
    </fill>
    <fill>
      <patternFill patternType="solid">
        <fgColor rgb="FFBDD7EE"/>
        <bgColor rgb="FFCCCCCC"/>
      </patternFill>
    </fill>
    <fill>
      <patternFill patternType="solid">
        <fgColor rgb="FFFFF2CC"/>
        <bgColor rgb="FFFEF3C7"/>
      </patternFill>
    </fill>
    <fill>
      <patternFill patternType="solid">
        <fgColor rgb="FFF2F2F2"/>
        <bgColor rgb="FFF0F0F0"/>
      </patternFill>
    </fill>
    <fill>
      <patternFill patternType="solid">
        <fgColor rgb="FFDCEAFB"/>
        <bgColor rgb="FFDBEAFE"/>
      </patternFill>
    </fill>
    <fill>
      <patternFill patternType="solid">
        <fgColor rgb="FFFCE4EC"/>
        <bgColor rgb="FFFEE2E2"/>
      </patternFill>
    </fill>
    <fill>
      <patternFill patternType="solid">
        <fgColor rgb="FF2F5496"/>
        <bgColor rgb="FF1A5276"/>
      </patternFill>
    </fill>
    <fill>
      <patternFill patternType="solid">
        <fgColor rgb="FFE74C3C"/>
        <bgColor rgb="FFE63946"/>
      </patternFill>
    </fill>
    <fill>
      <patternFill patternType="solid">
        <fgColor rgb="FF922B21"/>
        <bgColor rgb="FF7030A0"/>
      </patternFill>
    </fill>
    <fill>
      <patternFill patternType="solid">
        <fgColor rgb="FF0F3460"/>
        <bgColor rgb="FF1E3A5F"/>
      </patternFill>
    </fill>
    <fill>
      <patternFill patternType="solid">
        <fgColor rgb="FF16213E"/>
        <bgColor rgb="FF1E1E2E"/>
      </patternFill>
    </fill>
    <fill>
      <patternFill patternType="solid">
        <fgColor rgb="FFF0F0F0"/>
        <bgColor rgb="FFF2F2F2"/>
      </patternFill>
    </fill>
    <fill>
      <patternFill patternType="solid">
        <fgColor rgb="FFE8F0FE"/>
        <bgColor rgb="FFF0F0F0"/>
      </patternFill>
    </fill>
    <fill>
      <patternFill patternType="solid">
        <fgColor rgb="00d4efdf"/>
      </patternFill>
    </fill>
    <fill>
      <patternFill patternType="solid">
        <fgColor rgb="001a5276"/>
      </patternFill>
    </fill>
    <fill>
      <patternFill patternType="solid">
        <fgColor rgb="001F4E79"/>
      </patternFill>
    </fill>
    <fill>
      <patternFill patternType="solid">
        <fgColor rgb="00E8F0FE"/>
      </patternFill>
    </fill>
    <fill>
      <patternFill patternType="solid">
        <fgColor rgb="00FFFFFF"/>
      </patternFill>
    </fill>
  </fills>
  <borders count="6">
    <border>
      <left/>
      <right/>
      <top/>
      <bottom/>
      <diagonal/>
    </border>
    <border>
      <left/>
      <right/>
      <top/>
      <bottom style="thin">
        <color rgb="FF2D2D44"/>
      </bottom>
      <diagonal/>
    </border>
    <border>
      <left style="thin"/>
      <right style="thin"/>
      <top style="thin"/>
      <bottom style="thin"/>
      <diagonal/>
    </border>
    <border>
      <left style="thin">
        <color rgb="FF39396B"/>
      </left>
      <right style="thin">
        <color rgb="FF39396B"/>
      </right>
      <top style="thin">
        <color rgb="FF39396B"/>
      </top>
      <bottom style="thin">
        <color rgb="FF39396B"/>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2" borderId="0" applyAlignment="1" pivotButton="0" quotePrefix="0" xfId="0">
      <alignment horizontal="center" vertical="bottom"/>
    </xf>
    <xf numFmtId="0" fontId="6" fillId="3" borderId="1" applyAlignment="1" pivotButton="0" quotePrefix="0" xfId="0">
      <alignment horizontal="center" vertical="center" wrapText="1"/>
    </xf>
    <xf numFmtId="0" fontId="6" fillId="4" borderId="1" applyAlignment="1" pivotButton="0" quotePrefix="0" xfId="0">
      <alignment horizontal="center" vertical="center"/>
    </xf>
    <xf numFmtId="0" fontId="7" fillId="4" borderId="1" applyAlignment="1" pivotButton="0" quotePrefix="0" xfId="0">
      <alignment horizontal="general" vertical="center" wrapText="1"/>
    </xf>
    <xf numFmtId="0" fontId="8" fillId="4" borderId="1" applyAlignment="1" pivotButton="0" quotePrefix="0" xfId="0">
      <alignment horizontal="general" vertical="center" wrapText="1"/>
    </xf>
    <xf numFmtId="0" fontId="8" fillId="4" borderId="1" applyAlignment="1" pivotButton="0" quotePrefix="0" xfId="0">
      <alignment horizontal="center" vertical="center"/>
    </xf>
    <xf numFmtId="0" fontId="9" fillId="5" borderId="1" applyAlignment="1" pivotButton="0" quotePrefix="0" xfId="0">
      <alignment horizontal="center" vertical="center"/>
    </xf>
    <xf numFmtId="0" fontId="7" fillId="5" borderId="1" applyAlignment="1" pivotButton="0" quotePrefix="0" xfId="0">
      <alignment horizontal="general" vertical="center" wrapText="1"/>
    </xf>
    <xf numFmtId="0" fontId="8" fillId="5" borderId="1" applyAlignment="1" pivotButton="0" quotePrefix="0" xfId="0">
      <alignment horizontal="general" vertical="center" wrapText="1"/>
    </xf>
    <xf numFmtId="0" fontId="8" fillId="5" borderId="1" applyAlignment="1" pivotButton="0" quotePrefix="0" xfId="0">
      <alignment horizontal="center" vertical="center"/>
    </xf>
    <xf numFmtId="0" fontId="6" fillId="5" borderId="1" applyAlignment="1" pivotButton="0" quotePrefix="0" xfId="0">
      <alignment horizontal="center" vertical="center"/>
    </xf>
    <xf numFmtId="0" fontId="10" fillId="4" borderId="1" applyAlignment="1" pivotButton="0" quotePrefix="0" xfId="0">
      <alignment horizontal="center" vertical="center"/>
    </xf>
    <xf numFmtId="0" fontId="11" fillId="5" borderId="1" applyAlignment="1" pivotButton="0" quotePrefix="0" xfId="0">
      <alignment horizontal="center" vertical="center"/>
    </xf>
    <xf numFmtId="0" fontId="12" fillId="4" borderId="1" applyAlignment="1" pivotButton="0" quotePrefix="0" xfId="0">
      <alignment horizontal="center" vertical="center"/>
    </xf>
    <xf numFmtId="0" fontId="13" fillId="5" borderId="1" applyAlignment="1" pivotButton="0" quotePrefix="0" xfId="0">
      <alignment horizontal="center" vertical="center"/>
    </xf>
    <xf numFmtId="0" fontId="14" fillId="4" borderId="1" applyAlignment="1" pivotButton="0" quotePrefix="0" xfId="0">
      <alignment horizontal="center" vertical="center"/>
    </xf>
    <xf numFmtId="0" fontId="15" fillId="5" borderId="1" applyAlignment="1" pivotButton="0" quotePrefix="0" xfId="0">
      <alignment horizontal="center" vertical="center"/>
    </xf>
    <xf numFmtId="0" fontId="16" fillId="4" borderId="1" applyAlignment="1" pivotButton="0" quotePrefix="0" xfId="0">
      <alignment horizontal="center" vertical="center"/>
    </xf>
    <xf numFmtId="0" fontId="6" fillId="3" borderId="0" applyAlignment="1" pivotButton="0" quotePrefix="0" xfId="0">
      <alignment horizontal="center" vertical="center"/>
    </xf>
    <xf numFmtId="0" fontId="0" fillId="3" borderId="0" applyAlignment="1" pivotButton="0" quotePrefix="0" xfId="0">
      <alignment horizontal="general" vertical="bottom"/>
    </xf>
    <xf numFmtId="0" fontId="6" fillId="3" borderId="1" applyAlignment="1" pivotButton="0" quotePrefix="0" xfId="0">
      <alignment horizontal="center" vertical="center"/>
    </xf>
    <xf numFmtId="0" fontId="17" fillId="0" borderId="0" applyAlignment="1" pivotButton="0" quotePrefix="0" xfId="0">
      <alignment horizontal="general" vertical="bottom"/>
    </xf>
    <xf numFmtId="0" fontId="18" fillId="6" borderId="2" applyAlignment="1" pivotButton="0" quotePrefix="0" xfId="0">
      <alignment horizontal="center" vertical="bottom" wrapText="1"/>
    </xf>
    <xf numFmtId="0" fontId="0" fillId="0" borderId="2" applyAlignment="1" pivotButton="0" quotePrefix="0" xfId="0">
      <alignment horizontal="general" vertical="top" wrapText="1"/>
    </xf>
    <xf numFmtId="0" fontId="19" fillId="7" borderId="0" applyAlignment="1" pivotButton="0" quotePrefix="0" xfId="0">
      <alignment horizontal="general" vertical="bottom"/>
    </xf>
    <xf numFmtId="0" fontId="20" fillId="2" borderId="0" applyAlignment="1" pivotButton="0" quotePrefix="0" xfId="0">
      <alignment horizontal="center" vertical="center"/>
    </xf>
    <xf numFmtId="0" fontId="21" fillId="8" borderId="2" applyAlignment="1" pivotButton="0" quotePrefix="0" xfId="0">
      <alignment horizontal="center" vertical="bottom" wrapText="1"/>
    </xf>
    <xf numFmtId="0" fontId="22" fillId="0" borderId="2" applyAlignment="1" pivotButton="0" quotePrefix="0" xfId="0">
      <alignment horizontal="general" vertical="top" wrapText="1"/>
    </xf>
    <xf numFmtId="0" fontId="23" fillId="9" borderId="2" applyAlignment="1" pivotButton="0" quotePrefix="0" xfId="0">
      <alignment horizontal="general" vertical="top" wrapText="1"/>
    </xf>
    <xf numFmtId="0" fontId="23" fillId="10" borderId="2" applyAlignment="1" pivotButton="0" quotePrefix="0" xfId="0">
      <alignment horizontal="general" vertical="top" wrapText="1"/>
    </xf>
    <xf numFmtId="0" fontId="23" fillId="7" borderId="2" applyAlignment="1" pivotButton="0" quotePrefix="0" xfId="0">
      <alignment horizontal="general" vertical="top" wrapText="1"/>
    </xf>
    <xf numFmtId="0" fontId="23" fillId="11" borderId="2" applyAlignment="1" pivotButton="0" quotePrefix="0" xfId="0">
      <alignment horizontal="general" vertical="top" wrapText="1"/>
    </xf>
    <xf numFmtId="0" fontId="24" fillId="0" borderId="0" applyAlignment="1" pivotButton="0" quotePrefix="0" xfId="0">
      <alignment horizontal="general" vertical="bottom"/>
    </xf>
    <xf numFmtId="0" fontId="0" fillId="0" borderId="0" applyAlignment="1" pivotButton="0" quotePrefix="0" xfId="0">
      <alignment horizontal="general" vertical="top" wrapText="1"/>
    </xf>
    <xf numFmtId="0" fontId="8" fillId="12" borderId="1" applyAlignment="1" pivotButton="0" quotePrefix="0" xfId="0">
      <alignment horizontal="general" vertical="center" wrapText="1"/>
    </xf>
    <xf numFmtId="0" fontId="25" fillId="12" borderId="1" applyAlignment="1" pivotButton="0" quotePrefix="0" xfId="0">
      <alignment horizontal="general" vertical="center" wrapText="1"/>
    </xf>
    <xf numFmtId="0" fontId="26" fillId="12" borderId="1" applyAlignment="1" pivotButton="0" quotePrefix="0" xfId="0">
      <alignment horizontal="general" vertical="center" wrapText="1"/>
    </xf>
    <xf numFmtId="0" fontId="27" fillId="12" borderId="1" applyAlignment="1" pivotButton="0" quotePrefix="0" xfId="0">
      <alignment horizontal="center" vertical="center"/>
    </xf>
    <xf numFmtId="0" fontId="28" fillId="12" borderId="1" applyAlignment="1" pivotButton="0" quotePrefix="0" xfId="0">
      <alignment horizontal="center" vertical="center"/>
    </xf>
    <xf numFmtId="0" fontId="8" fillId="12" borderId="1" applyAlignment="1" pivotButton="0" quotePrefix="0" xfId="0">
      <alignment horizontal="center" vertical="center"/>
    </xf>
    <xf numFmtId="0" fontId="25" fillId="12" borderId="1" applyAlignment="1" pivotButton="0" quotePrefix="0" xfId="0">
      <alignment horizontal="center" vertical="center"/>
    </xf>
    <xf numFmtId="0" fontId="29" fillId="12" borderId="1" applyAlignment="1" pivotButton="0" quotePrefix="0" xfId="0">
      <alignment horizontal="center" vertical="center"/>
    </xf>
    <xf numFmtId="0" fontId="26" fillId="13" borderId="1" applyAlignment="1" pivotButton="0" quotePrefix="0" xfId="0">
      <alignment horizontal="general" vertical="center" wrapText="1"/>
    </xf>
    <xf numFmtId="0" fontId="26" fillId="4" borderId="1" applyAlignment="1" pivotButton="0" quotePrefix="0" xfId="0">
      <alignment horizontal="general" vertical="center" wrapText="1"/>
    </xf>
    <xf numFmtId="0" fontId="27" fillId="14" borderId="1" applyAlignment="1" pivotButton="0" quotePrefix="0" xfId="0">
      <alignment horizontal="center" vertical="center"/>
    </xf>
    <xf numFmtId="0" fontId="28" fillId="4" borderId="1" applyAlignment="1" pivotButton="0" quotePrefix="0" xfId="0">
      <alignment horizontal="center" vertical="center"/>
    </xf>
    <xf numFmtId="0" fontId="29" fillId="4" borderId="1" applyAlignment="1" pivotButton="0" quotePrefix="0" xfId="0">
      <alignment horizontal="center" vertical="center"/>
    </xf>
    <xf numFmtId="0" fontId="30" fillId="12" borderId="1" applyAlignment="1" pivotButton="0" quotePrefix="0" xfId="0">
      <alignment horizontal="center" vertical="center"/>
    </xf>
    <xf numFmtId="0" fontId="25" fillId="5" borderId="1" applyAlignment="1" pivotButton="0" quotePrefix="0" xfId="0">
      <alignment horizontal="general" vertical="center" wrapText="1"/>
    </xf>
    <xf numFmtId="0" fontId="30" fillId="5" borderId="1" applyAlignment="1" pivotButton="0" quotePrefix="0" xfId="0">
      <alignment horizontal="center" vertical="center"/>
    </xf>
    <xf numFmtId="0" fontId="29" fillId="5" borderId="1" applyAlignment="1" pivotButton="0" quotePrefix="0" xfId="0">
      <alignment horizontal="center" vertical="center"/>
    </xf>
    <xf numFmtId="0" fontId="31" fillId="12" borderId="1" applyAlignment="1" pivotButton="0" quotePrefix="0" xfId="0">
      <alignment horizontal="general" vertical="center" wrapText="1"/>
    </xf>
    <xf numFmtId="0" fontId="32" fillId="12" borderId="1" applyAlignment="1" pivotButton="0" quotePrefix="0" xfId="0">
      <alignment horizontal="center" vertical="center"/>
    </xf>
    <xf numFmtId="0" fontId="33" fillId="15" borderId="1" applyAlignment="1" pivotButton="0" quotePrefix="0" xfId="0">
      <alignment horizontal="general" vertical="center" wrapText="1"/>
    </xf>
    <xf numFmtId="0" fontId="34" fillId="14" borderId="1" applyAlignment="1" pivotButton="0" quotePrefix="0" xfId="0">
      <alignment horizontal="center" vertical="center"/>
    </xf>
    <xf numFmtId="0" fontId="35" fillId="5" borderId="1" applyAlignment="1" pivotButton="0" quotePrefix="0" xfId="0">
      <alignment horizontal="center" vertical="center"/>
    </xf>
    <xf numFmtId="0" fontId="33" fillId="15" borderId="1" applyAlignment="1" pivotButton="0" quotePrefix="0" xfId="0">
      <alignment horizontal="center" vertical="center"/>
    </xf>
    <xf numFmtId="0" fontId="36" fillId="4" borderId="1" applyAlignment="1" pivotButton="0" quotePrefix="0" xfId="0">
      <alignment horizontal="center" vertical="center"/>
    </xf>
    <xf numFmtId="0" fontId="37" fillId="12" borderId="1" applyAlignment="1" pivotButton="0" quotePrefix="0" xfId="0">
      <alignment horizontal="center" vertical="center"/>
    </xf>
    <xf numFmtId="0" fontId="26" fillId="5" borderId="1" applyAlignment="1" pivotButton="0" quotePrefix="0" xfId="0">
      <alignment horizontal="general" vertical="center" wrapText="1"/>
    </xf>
    <xf numFmtId="0" fontId="36" fillId="5" borderId="1" applyAlignment="1" pivotButton="0" quotePrefix="0" xfId="0">
      <alignment horizontal="center" vertical="center"/>
    </xf>
    <xf numFmtId="0" fontId="36" fillId="12" borderId="1" applyAlignment="1" pivotButton="0" quotePrefix="0" xfId="0">
      <alignment horizontal="center" vertical="center"/>
    </xf>
    <xf numFmtId="0" fontId="31" fillId="4" borderId="1" applyAlignment="1" pivotButton="0" quotePrefix="0" xfId="0">
      <alignment horizontal="general" vertical="center" wrapText="1"/>
    </xf>
    <xf numFmtId="0" fontId="32" fillId="4" borderId="1" applyAlignment="1" pivotButton="0" quotePrefix="0" xfId="0">
      <alignment horizontal="center" vertical="center"/>
    </xf>
    <xf numFmtId="0" fontId="31" fillId="5" borderId="1" applyAlignment="1" pivotButton="0" quotePrefix="0" xfId="0">
      <alignment horizontal="general" vertical="center" wrapText="1"/>
    </xf>
    <xf numFmtId="0" fontId="32" fillId="5" borderId="1" applyAlignment="1" pivotButton="0" quotePrefix="0" xfId="0">
      <alignment horizontal="center" vertical="center"/>
    </xf>
    <xf numFmtId="0" fontId="25" fillId="4" borderId="1" applyAlignment="1" pivotButton="0" quotePrefix="0" xfId="0">
      <alignment horizontal="general" vertical="center" wrapText="1"/>
    </xf>
    <xf numFmtId="0" fontId="38" fillId="4" borderId="1" applyAlignment="1" pivotButton="0" quotePrefix="0" xfId="0">
      <alignment horizontal="center" vertical="center"/>
    </xf>
    <xf numFmtId="0" fontId="38" fillId="5" borderId="1" applyAlignment="1" pivotButton="0" quotePrefix="0" xfId="0">
      <alignment horizontal="center" vertical="center"/>
    </xf>
    <xf numFmtId="0" fontId="38" fillId="12" borderId="1" applyAlignment="1" pivotButton="0" quotePrefix="0" xfId="0">
      <alignment horizontal="center" vertical="center"/>
    </xf>
    <xf numFmtId="0" fontId="28" fillId="5" borderId="1" applyAlignment="1" pivotButton="0" quotePrefix="0" xfId="0">
      <alignment horizontal="center" vertical="center"/>
    </xf>
    <xf numFmtId="0" fontId="39" fillId="5" borderId="1" applyAlignment="1" pivotButton="0" quotePrefix="0" xfId="0">
      <alignment horizontal="center" vertical="center"/>
    </xf>
    <xf numFmtId="0" fontId="40" fillId="0" borderId="0" applyAlignment="1" pivotButton="0" quotePrefix="0" xfId="0">
      <alignment horizontal="general" vertical="bottom"/>
    </xf>
    <xf numFmtId="0" fontId="39" fillId="12" borderId="1" applyAlignment="1" pivotButton="0" quotePrefix="0" xfId="0">
      <alignment horizontal="center" vertical="center"/>
    </xf>
    <xf numFmtId="0" fontId="41" fillId="12" borderId="1" applyAlignment="1" pivotButton="0" quotePrefix="0" xfId="0">
      <alignment horizontal="center" vertical="center"/>
    </xf>
    <xf numFmtId="0" fontId="41" fillId="5" borderId="1" applyAlignment="1" pivotButton="0" quotePrefix="0" xfId="0">
      <alignment horizontal="center" vertical="center"/>
    </xf>
    <xf numFmtId="0" fontId="41" fillId="4" borderId="1" applyAlignment="1" pivotButton="0" quotePrefix="0" xfId="0">
      <alignment horizontal="center" vertical="center"/>
    </xf>
    <xf numFmtId="0" fontId="39" fillId="4" borderId="1" applyAlignment="1" pivotButton="0" quotePrefix="0" xfId="0">
      <alignment horizontal="center" vertical="center"/>
    </xf>
    <xf numFmtId="0" fontId="0" fillId="12" borderId="0" applyAlignment="1" pivotButton="0" quotePrefix="0" xfId="0">
      <alignment horizontal="general" vertical="bottom"/>
    </xf>
    <xf numFmtId="0" fontId="42" fillId="16" borderId="3" applyAlignment="1" pivotButton="0" quotePrefix="0" xfId="0">
      <alignment horizontal="general" vertical="bottom"/>
    </xf>
    <xf numFmtId="0" fontId="0" fillId="16" borderId="3" applyAlignment="1" pivotButton="0" quotePrefix="0" xfId="0">
      <alignment horizontal="general" vertical="bottom"/>
    </xf>
    <xf numFmtId="0" fontId="43" fillId="0" borderId="3" applyAlignment="1" pivotButton="0" quotePrefix="0" xfId="0">
      <alignment horizontal="general" vertical="bottom"/>
    </xf>
    <xf numFmtId="0" fontId="44" fillId="4" borderId="1" applyAlignment="1" pivotButton="0" quotePrefix="0" xfId="0">
      <alignment horizontal="center" vertical="center"/>
    </xf>
    <xf numFmtId="0" fontId="35" fillId="4" borderId="1" applyAlignment="1" pivotButton="0" quotePrefix="0" xfId="0">
      <alignment horizontal="center" vertical="center"/>
    </xf>
    <xf numFmtId="0" fontId="44" fillId="12" borderId="1" applyAlignment="1" pivotButton="0" quotePrefix="0" xfId="0">
      <alignment horizontal="center" vertical="center"/>
    </xf>
    <xf numFmtId="0" fontId="25" fillId="17" borderId="1" applyAlignment="1" pivotButton="0" quotePrefix="0" xfId="0">
      <alignment horizontal="general" vertical="center" wrapText="1"/>
    </xf>
    <xf numFmtId="0" fontId="44" fillId="5" borderId="1" applyAlignment="1" pivotButton="0" quotePrefix="0" xfId="0">
      <alignment horizontal="center" vertical="center"/>
    </xf>
    <xf numFmtId="0" fontId="45" fillId="12" borderId="1" applyAlignment="1" pivotButton="0" quotePrefix="0" xfId="0">
      <alignment horizontal="general" vertical="center" wrapText="1"/>
    </xf>
    <xf numFmtId="0" fontId="45" fillId="18" borderId="1" applyAlignment="1" pivotButton="0" quotePrefix="0" xfId="0">
      <alignment horizontal="general" vertical="center" wrapText="1"/>
    </xf>
    <xf numFmtId="0" fontId="8" fillId="18" borderId="1" applyAlignment="1" pivotButton="0" quotePrefix="0" xfId="0">
      <alignment horizontal="general" vertical="center" wrapText="1"/>
    </xf>
    <xf numFmtId="0" fontId="27" fillId="18" borderId="1" applyAlignment="1" pivotButton="0" quotePrefix="0" xfId="0">
      <alignment horizontal="center" vertical="center"/>
    </xf>
    <xf numFmtId="0" fontId="38" fillId="18" borderId="1" applyAlignment="1" pivotButton="0" quotePrefix="0" xfId="0">
      <alignment horizontal="center" vertical="center"/>
    </xf>
    <xf numFmtId="0" fontId="8" fillId="18" borderId="1" applyAlignment="1" pivotButton="0" quotePrefix="0" xfId="0">
      <alignment horizontal="center" vertical="center"/>
    </xf>
    <xf numFmtId="0" fontId="45" fillId="5" borderId="1" applyAlignment="1" pivotButton="0" quotePrefix="0" xfId="0">
      <alignment horizontal="general" vertical="center" wrapText="1"/>
    </xf>
    <xf numFmtId="0" fontId="45" fillId="4" borderId="1" applyAlignment="1" pivotButton="0" quotePrefix="0" xfId="0">
      <alignment horizontal="general" vertical="center" wrapText="1"/>
    </xf>
    <xf numFmtId="0" fontId="33" fillId="12" borderId="1" applyAlignment="1" pivotButton="0" quotePrefix="0" xfId="0">
      <alignment horizontal="general" vertical="center" wrapText="1"/>
    </xf>
    <xf numFmtId="0" fontId="33" fillId="4" borderId="1" applyAlignment="1" pivotButton="0" quotePrefix="0" xfId="0">
      <alignment horizontal="general" vertical="center" wrapText="1"/>
    </xf>
    <xf numFmtId="0" fontId="46" fillId="5" borderId="1" applyAlignment="1" pivotButton="0" quotePrefix="0" xfId="0">
      <alignment horizontal="general" vertical="center" wrapText="1"/>
    </xf>
    <xf numFmtId="0" fontId="46" fillId="4" borderId="1" applyAlignment="1" pivotButton="0" quotePrefix="0" xfId="0">
      <alignment horizontal="general" vertical="center" wrapText="1"/>
    </xf>
    <xf numFmtId="0" fontId="47" fillId="0" borderId="0" applyAlignment="1" pivotButton="0" quotePrefix="0" xfId="0">
      <alignment horizontal="general" vertical="bottom"/>
    </xf>
    <xf numFmtId="0" fontId="48" fillId="8" borderId="0" applyAlignment="1" pivotButton="0" quotePrefix="0" xfId="0">
      <alignment horizontal="general" vertical="bottom"/>
    </xf>
    <xf numFmtId="0" fontId="48" fillId="19" borderId="0" applyAlignment="1" pivotButton="0" quotePrefix="0" xfId="0">
      <alignment horizontal="center" vertical="bottom"/>
    </xf>
    <xf numFmtId="0" fontId="0" fillId="0" borderId="0" applyAlignment="1" pivotButton="0" quotePrefix="0" xfId="0">
      <alignment horizontal="general" vertical="bottom" wrapText="1"/>
    </xf>
    <xf numFmtId="0" fontId="19" fillId="4" borderId="1" applyAlignment="1" pivotButton="0" quotePrefix="0" xfId="0">
      <alignment horizontal="general" vertical="center" wrapText="1"/>
    </xf>
    <xf numFmtId="0" fontId="19" fillId="0" borderId="0" applyAlignment="1" pivotButton="0" quotePrefix="0" xfId="0">
      <alignment horizontal="general" vertical="bottom"/>
    </xf>
    <xf numFmtId="0" fontId="49" fillId="20" borderId="0" applyAlignment="1" pivotButton="0" quotePrefix="0" xfId="0">
      <alignment horizontal="center" vertical="bottom"/>
    </xf>
    <xf numFmtId="0" fontId="50" fillId="21" borderId="0" applyAlignment="1" pivotButton="0" quotePrefix="0" xfId="0">
      <alignment horizontal="center" vertical="bottom"/>
    </xf>
    <xf numFmtId="0" fontId="51" fillId="22" borderId="3" applyAlignment="1" pivotButton="0" quotePrefix="0" xfId="0">
      <alignment horizontal="center" vertical="bottom"/>
    </xf>
    <xf numFmtId="0" fontId="19" fillId="0" borderId="0" applyAlignment="1" pivotButton="0" quotePrefix="0" xfId="0">
      <alignment horizontal="center" vertical="bottom"/>
    </xf>
    <xf numFmtId="0" fontId="49" fillId="0" borderId="0" applyAlignment="1" pivotButton="0" quotePrefix="0" xfId="0">
      <alignment horizontal="center" vertical="bottom"/>
    </xf>
    <xf numFmtId="0" fontId="52" fillId="0" borderId="0" applyAlignment="1" pivotButton="0" quotePrefix="0" xfId="0">
      <alignment horizontal="center" vertical="bottom"/>
    </xf>
    <xf numFmtId="0" fontId="19" fillId="7" borderId="0" applyAlignment="1" pivotButton="0" quotePrefix="0" xfId="0">
      <alignment horizontal="center" vertical="bottom"/>
    </xf>
    <xf numFmtId="3" fontId="53" fillId="0" borderId="2" applyAlignment="1" pivotButton="0" quotePrefix="0" xfId="0">
      <alignment horizontal="center" vertical="bottom"/>
    </xf>
    <xf numFmtId="3" fontId="0" fillId="0" borderId="0" applyAlignment="1" pivotButton="0" quotePrefix="0" xfId="0">
      <alignment horizontal="center" vertical="bottom"/>
    </xf>
    <xf numFmtId="3" fontId="43" fillId="0" borderId="3" applyAlignment="1" pivotButton="0" quotePrefix="0" xfId="0">
      <alignment horizontal="center" vertical="bottom"/>
    </xf>
    <xf numFmtId="0" fontId="0" fillId="0" borderId="0" applyAlignment="1" pivotButton="0" quotePrefix="0" xfId="0">
      <alignment horizontal="center" vertical="bottom"/>
    </xf>
    <xf numFmtId="0" fontId="54" fillId="4" borderId="1" applyAlignment="1" pivotButton="0" quotePrefix="0" xfId="0">
      <alignment horizontal="general" vertical="center" wrapText="1"/>
    </xf>
    <xf numFmtId="0" fontId="37" fillId="12" borderId="1" applyAlignment="1" pivotButton="0" quotePrefix="0" xfId="0">
      <alignment horizontal="general" vertical="center" wrapText="1"/>
    </xf>
    <xf numFmtId="0" fontId="37" fillId="12" borderId="0" applyAlignment="1" pivotButton="0" quotePrefix="0" xfId="0">
      <alignment horizontal="general" vertical="bottom"/>
    </xf>
    <xf numFmtId="0" fontId="37" fillId="12" borderId="1" applyAlignment="1" pivotButton="0" quotePrefix="0" xfId="0">
      <alignment horizontal="center" vertical="center" wrapText="1"/>
    </xf>
    <xf numFmtId="0" fontId="30" fillId="4" borderId="1" applyAlignment="1" pivotButton="0" quotePrefix="0" xfId="0">
      <alignment horizontal="center" vertical="center"/>
    </xf>
    <xf numFmtId="0" fontId="25" fillId="4" borderId="1" applyAlignment="1" pivotButton="0" quotePrefix="0" xfId="0">
      <alignment horizontal="center" vertical="center"/>
    </xf>
    <xf numFmtId="0" fontId="25" fillId="5" borderId="1" applyAlignment="1" pivotButton="0" quotePrefix="0" xfId="0">
      <alignment horizontal="center" vertical="center"/>
    </xf>
    <xf numFmtId="0" fontId="33" fillId="5" borderId="1" applyAlignment="1" pivotButton="0" quotePrefix="0" xfId="0">
      <alignment horizontal="center" vertical="center"/>
    </xf>
    <xf numFmtId="0" fontId="19" fillId="4" borderId="1" applyAlignment="1" pivotButton="0" quotePrefix="0" xfId="0">
      <alignment horizontal="center" vertical="center"/>
    </xf>
    <xf numFmtId="0" fontId="33" fillId="4" borderId="1" applyAlignment="1" pivotButton="0" quotePrefix="0" xfId="0">
      <alignment horizontal="center" vertical="center"/>
    </xf>
    <xf numFmtId="0" fontId="54" fillId="5" borderId="1" applyAlignment="1" pivotButton="0" quotePrefix="0" xfId="0">
      <alignment horizontal="center" vertical="center"/>
    </xf>
    <xf numFmtId="0" fontId="19" fillId="5" borderId="1" applyAlignment="1" pivotButton="0" quotePrefix="0" xfId="0">
      <alignment horizontal="center" vertical="center"/>
    </xf>
    <xf numFmtId="0" fontId="55" fillId="23" borderId="1" applyAlignment="1" pivotButton="0" quotePrefix="0" xfId="0">
      <alignment horizontal="center" vertical="center"/>
    </xf>
    <xf numFmtId="9" fontId="19" fillId="0" borderId="0" applyAlignment="1" pivotButton="0" quotePrefix="0" xfId="0">
      <alignment horizontal="general" vertical="bottom"/>
    </xf>
    <xf numFmtId="9" fontId="0" fillId="0" borderId="0" applyAlignment="1" pivotButton="0" quotePrefix="0" xfId="0">
      <alignment horizontal="general" vertical="bottom"/>
    </xf>
    <xf numFmtId="0" fontId="56" fillId="0" borderId="0" applyAlignment="1" pivotButton="0" quotePrefix="0" xfId="0">
      <alignment horizontal="general" vertical="bottom"/>
    </xf>
    <xf numFmtId="0" fontId="57" fillId="24" borderId="0" applyAlignment="1" pivotButton="0" quotePrefix="0" xfId="0">
      <alignment horizontal="general" vertical="bottom"/>
    </xf>
    <xf numFmtId="0" fontId="55" fillId="23" borderId="0" applyAlignment="1" pivotButton="0" quotePrefix="0" xfId="0">
      <alignment horizontal="general" vertical="bottom"/>
    </xf>
    <xf numFmtId="0" fontId="58" fillId="0" borderId="0" applyAlignment="1" pivotButton="0" quotePrefix="0" xfId="0">
      <alignment horizontal="general" vertical="bottom"/>
    </xf>
    <xf numFmtId="0" fontId="51" fillId="0" borderId="3" applyAlignment="1" pivotButton="0" quotePrefix="0" xfId="0">
      <alignment horizontal="general" vertical="bottom"/>
    </xf>
    <xf numFmtId="0" fontId="43" fillId="0" borderId="3" applyAlignment="1" pivotButton="0" quotePrefix="0" xfId="0">
      <alignment horizontal="center" vertical="bottom"/>
    </xf>
    <xf numFmtId="164" fontId="0" fillId="0" borderId="0" applyAlignment="1" pivotButton="0" quotePrefix="0" xfId="0">
      <alignment horizontal="general" vertical="bottom"/>
    </xf>
    <xf numFmtId="0" fontId="51" fillId="22" borderId="3" applyAlignment="1" pivotButton="0" quotePrefix="0" xfId="0">
      <alignment horizontal="general" vertical="bottom"/>
    </xf>
    <xf numFmtId="0" fontId="18" fillId="21" borderId="0" applyAlignment="1" pivotButton="0" quotePrefix="0" xfId="0">
      <alignment horizontal="general" vertical="bottom"/>
    </xf>
    <xf numFmtId="0" fontId="37" fillId="0" borderId="0" applyAlignment="1" pivotButton="0" quotePrefix="0" xfId="0">
      <alignment horizontal="center" vertical="bottom"/>
    </xf>
    <xf numFmtId="0" fontId="18" fillId="25" borderId="0" applyAlignment="1" pivotButton="0" quotePrefix="0" xfId="0">
      <alignment horizontal="general" vertical="bottom"/>
    </xf>
    <xf numFmtId="0" fontId="59" fillId="0" borderId="0" applyAlignment="1" pivotButton="0" quotePrefix="0" xfId="0">
      <alignment horizontal="general" vertical="bottom"/>
    </xf>
    <xf numFmtId="0" fontId="60" fillId="0" borderId="0" applyAlignment="1" pivotButton="0" quotePrefix="0" xfId="0">
      <alignment horizontal="general" vertical="bottom"/>
    </xf>
    <xf numFmtId="0" fontId="61" fillId="0" borderId="0" applyAlignment="1" pivotButton="0" quotePrefix="0" xfId="0">
      <alignment horizontal="general" vertical="bottom"/>
    </xf>
    <xf numFmtId="0" fontId="19" fillId="0" borderId="0" applyAlignment="1" pivotButton="0" quotePrefix="0" xfId="0">
      <alignment horizontal="general" vertical="bottom"/>
    </xf>
    <xf numFmtId="0" fontId="19" fillId="26" borderId="2" applyAlignment="1" pivotButton="0" quotePrefix="0" xfId="0">
      <alignment horizontal="general" vertical="bottom"/>
    </xf>
    <xf numFmtId="0" fontId="0" fillId="0" borderId="2" applyAlignment="1" pivotButton="0" quotePrefix="0" xfId="0">
      <alignment horizontal="general" vertical="bottom"/>
    </xf>
    <xf numFmtId="0" fontId="0" fillId="27" borderId="2" applyAlignment="1" pivotButton="0" quotePrefix="0" xfId="0">
      <alignment horizontal="general" vertical="bottom"/>
    </xf>
    <xf numFmtId="0" fontId="0" fillId="28" borderId="2" applyAlignment="1" pivotButton="0" quotePrefix="0" xfId="0">
      <alignment horizontal="general" vertical="bottom"/>
    </xf>
    <xf numFmtId="0" fontId="19" fillId="29" borderId="2" applyAlignment="1" pivotButton="0" quotePrefix="0" xfId="0">
      <alignment horizontal="general" vertical="bottom"/>
    </xf>
    <xf numFmtId="0" fontId="0" fillId="12" borderId="2" applyAlignment="1" pivotButton="0" quotePrefix="0" xfId="0">
      <alignment horizontal="general" vertical="bottom"/>
    </xf>
    <xf numFmtId="0" fontId="0" fillId="30" borderId="2" applyAlignment="1" pivotButton="0" quotePrefix="0" xfId="0">
      <alignment horizontal="general" vertical="bottom"/>
    </xf>
    <xf numFmtId="0" fontId="0" fillId="31" borderId="2" applyAlignment="1" pivotButton="0" quotePrefix="0" xfId="0">
      <alignment horizontal="general" vertical="bottom"/>
    </xf>
    <xf numFmtId="0" fontId="19" fillId="27" borderId="2" applyAlignment="1" pivotButton="0" quotePrefix="0" xfId="0">
      <alignment horizontal="general" vertical="bottom"/>
    </xf>
    <xf numFmtId="0" fontId="37" fillId="12" borderId="2" applyAlignment="1" pivotButton="0" quotePrefix="0" xfId="0">
      <alignment horizontal="general" vertical="bottom"/>
    </xf>
    <xf numFmtId="0" fontId="62" fillId="0" borderId="0" applyAlignment="1" pivotButton="0" quotePrefix="0" xfId="0">
      <alignment horizontal="general" vertical="bottom"/>
    </xf>
    <xf numFmtId="0" fontId="48" fillId="14" borderId="0" applyAlignment="1" pivotButton="0" quotePrefix="0" xfId="0">
      <alignment horizontal="center" vertical="bottom"/>
    </xf>
    <xf numFmtId="0" fontId="63" fillId="0" borderId="0" applyAlignment="1" pivotButton="0" quotePrefix="0" xfId="0">
      <alignment horizontal="general" vertical="bottom"/>
    </xf>
    <xf numFmtId="0" fontId="64" fillId="21" borderId="0" applyAlignment="1" pivotButton="0" quotePrefix="0" xfId="0">
      <alignment horizontal="general" vertical="bottom"/>
    </xf>
    <xf numFmtId="0" fontId="52" fillId="32" borderId="0" applyAlignment="1" pivotButton="0" quotePrefix="0" xfId="0">
      <alignment horizontal="center" vertical="bottom"/>
    </xf>
    <xf numFmtId="0" fontId="0" fillId="0" borderId="0" applyAlignment="1" pivotButton="0" quotePrefix="0" xfId="0">
      <alignment horizontal="general" vertical="top" wrapText="1"/>
    </xf>
    <xf numFmtId="0" fontId="64" fillId="33" borderId="0" applyAlignment="1" pivotButton="0" quotePrefix="0" xfId="0">
      <alignment horizontal="general" vertical="bottom"/>
    </xf>
    <xf numFmtId="0" fontId="52" fillId="34" borderId="0" applyAlignment="1" pivotButton="0" quotePrefix="0" xfId="0">
      <alignment horizontal="center" vertical="bottom"/>
    </xf>
    <xf numFmtId="0" fontId="0" fillId="0" borderId="0" applyAlignment="1" pivotButton="0" quotePrefix="0" xfId="0">
      <alignment horizontal="left" vertical="bottom"/>
    </xf>
    <xf numFmtId="0" fontId="64" fillId="35" borderId="0" applyAlignment="1" pivotButton="0" quotePrefix="0" xfId="0">
      <alignment horizontal="center" vertical="bottom"/>
    </xf>
    <xf numFmtId="0" fontId="65" fillId="14" borderId="0" applyAlignment="1" pivotButton="0" quotePrefix="0" xfId="0">
      <alignment horizontal="general" vertical="bottom"/>
    </xf>
    <xf numFmtId="0" fontId="52" fillId="36" borderId="0" applyAlignment="1" pivotButton="0" quotePrefix="0" xfId="0">
      <alignment horizontal="center" vertical="bottom"/>
    </xf>
    <xf numFmtId="0" fontId="62" fillId="37" borderId="0" applyAlignment="1" pivotButton="0" quotePrefix="0" xfId="0">
      <alignment horizontal="general" vertical="top" wrapText="1"/>
    </xf>
    <xf numFmtId="0" fontId="62" fillId="0" borderId="0" applyAlignment="1" pivotButton="0" quotePrefix="0" xfId="0">
      <alignment horizontal="general" vertical="top" wrapText="1"/>
    </xf>
    <xf numFmtId="0" fontId="66" fillId="14" borderId="0" applyAlignment="1" pivotButton="0" quotePrefix="0" xfId="0">
      <alignment horizontal="center" vertical="bottom"/>
    </xf>
    <xf numFmtId="0" fontId="67" fillId="0" borderId="0" applyAlignment="1" pivotButton="0" quotePrefix="0" xfId="0">
      <alignment horizontal="general" vertical="bottom"/>
    </xf>
    <xf numFmtId="0" fontId="7" fillId="36" borderId="0" applyAlignment="1" pivotButton="0" quotePrefix="0" xfId="0">
      <alignment horizontal="center" vertical="bottom"/>
    </xf>
    <xf numFmtId="0" fontId="22" fillId="0" borderId="0" applyAlignment="1" pivotButton="0" quotePrefix="0" xfId="0">
      <alignment horizontal="general" vertical="bottom"/>
    </xf>
    <xf numFmtId="0" fontId="22" fillId="0" borderId="0" applyAlignment="1" pivotButton="0" quotePrefix="0" xfId="0">
      <alignment horizontal="center" vertical="bottom"/>
    </xf>
    <xf numFmtId="0" fontId="23" fillId="0" borderId="0" applyAlignment="1" pivotButton="0" quotePrefix="0" xfId="0">
      <alignment horizontal="general" vertical="bottom"/>
    </xf>
    <xf numFmtId="0" fontId="23" fillId="0" borderId="0" applyAlignment="1" pivotButton="0" quotePrefix="0" xfId="0">
      <alignment horizontal="center" vertical="bottom"/>
    </xf>
    <xf numFmtId="0" fontId="48" fillId="8" borderId="2" applyAlignment="1" pivotButton="0" quotePrefix="0" xfId="0">
      <alignment horizontal="center" vertical="bottom" wrapText="1"/>
    </xf>
    <xf numFmtId="0" fontId="0" fillId="38" borderId="2" applyAlignment="1" pivotButton="0" quotePrefix="0" xfId="0">
      <alignment horizontal="general" vertical="top" wrapText="1"/>
    </xf>
    <xf numFmtId="0" fontId="68" fillId="0" borderId="0" applyAlignment="1" pivotButton="0" quotePrefix="0" xfId="0">
      <alignment horizontal="general" vertical="bottom"/>
    </xf>
    <xf numFmtId="0" fontId="0" fillId="0" borderId="0" applyAlignment="1" pivotButton="0" quotePrefix="0" xfId="0">
      <alignment horizontal="general" vertical="bottom" wrapText="1"/>
    </xf>
    <xf numFmtId="0" fontId="6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2" borderId="0" applyAlignment="1" pivotButton="0" quotePrefix="0" xfId="0">
      <alignment horizontal="center" vertical="bottom"/>
    </xf>
    <xf numFmtId="0" fontId="6" fillId="3" borderId="1" applyAlignment="1" pivotButton="0" quotePrefix="0" xfId="0">
      <alignment horizontal="center" vertical="center" wrapText="1"/>
    </xf>
    <xf numFmtId="0" fontId="6" fillId="4" borderId="1" applyAlignment="1" pivotButton="0" quotePrefix="0" xfId="0">
      <alignment horizontal="center" vertical="center"/>
    </xf>
    <xf numFmtId="0" fontId="7" fillId="4" borderId="1" applyAlignment="1" pivotButton="0" quotePrefix="0" xfId="0">
      <alignment horizontal="general" vertical="center" wrapText="1"/>
    </xf>
    <xf numFmtId="0" fontId="8" fillId="4" borderId="1" applyAlignment="1" pivotButton="0" quotePrefix="0" xfId="0">
      <alignment horizontal="general" vertical="center" wrapText="1"/>
    </xf>
    <xf numFmtId="0" fontId="8" fillId="4" borderId="1" applyAlignment="1" pivotButton="0" quotePrefix="0" xfId="0">
      <alignment horizontal="center" vertical="center"/>
    </xf>
    <xf numFmtId="0" fontId="9" fillId="5" borderId="1" applyAlignment="1" pivotButton="0" quotePrefix="0" xfId="0">
      <alignment horizontal="center" vertical="center"/>
    </xf>
    <xf numFmtId="0" fontId="7" fillId="5" borderId="1" applyAlignment="1" pivotButton="0" quotePrefix="0" xfId="0">
      <alignment horizontal="general" vertical="center" wrapText="1"/>
    </xf>
    <xf numFmtId="0" fontId="8" fillId="5" borderId="1" applyAlignment="1" pivotButton="0" quotePrefix="0" xfId="0">
      <alignment horizontal="general" vertical="center" wrapText="1"/>
    </xf>
    <xf numFmtId="0" fontId="8" fillId="5" borderId="1" applyAlignment="1" pivotButton="0" quotePrefix="0" xfId="0">
      <alignment horizontal="center" vertical="center"/>
    </xf>
    <xf numFmtId="0" fontId="6" fillId="5" borderId="1" applyAlignment="1" pivotButton="0" quotePrefix="0" xfId="0">
      <alignment horizontal="center" vertical="center"/>
    </xf>
    <xf numFmtId="0" fontId="10" fillId="4" borderId="1" applyAlignment="1" pivotButton="0" quotePrefix="0" xfId="0">
      <alignment horizontal="center" vertical="center"/>
    </xf>
    <xf numFmtId="0" fontId="11" fillId="5" borderId="1" applyAlignment="1" pivotButton="0" quotePrefix="0" xfId="0">
      <alignment horizontal="center" vertical="center"/>
    </xf>
    <xf numFmtId="0" fontId="12" fillId="4" borderId="1" applyAlignment="1" pivotButton="0" quotePrefix="0" xfId="0">
      <alignment horizontal="center" vertical="center"/>
    </xf>
    <xf numFmtId="0" fontId="13" fillId="5" borderId="1" applyAlignment="1" pivotButton="0" quotePrefix="0" xfId="0">
      <alignment horizontal="center" vertical="center"/>
    </xf>
    <xf numFmtId="0" fontId="14" fillId="4" borderId="1" applyAlignment="1" pivotButton="0" quotePrefix="0" xfId="0">
      <alignment horizontal="center" vertical="center"/>
    </xf>
    <xf numFmtId="0" fontId="15" fillId="5" borderId="1" applyAlignment="1" pivotButton="0" quotePrefix="0" xfId="0">
      <alignment horizontal="center" vertical="center"/>
    </xf>
    <xf numFmtId="0" fontId="16" fillId="4" borderId="1" applyAlignment="1" pivotButton="0" quotePrefix="0" xfId="0">
      <alignment horizontal="center" vertical="center"/>
    </xf>
    <xf numFmtId="0" fontId="6" fillId="3" borderId="0" applyAlignment="1" pivotButton="0" quotePrefix="0" xfId="0">
      <alignment horizontal="center" vertical="center"/>
    </xf>
    <xf numFmtId="0" fontId="0" fillId="3" borderId="0" applyAlignment="1" pivotButton="0" quotePrefix="0" xfId="0">
      <alignment horizontal="general" vertical="bottom"/>
    </xf>
    <xf numFmtId="0" fontId="6" fillId="3" borderId="1" applyAlignment="1" pivotButton="0" quotePrefix="0" xfId="0">
      <alignment horizontal="center" vertical="center"/>
    </xf>
    <xf numFmtId="0" fontId="17" fillId="0" borderId="0" applyAlignment="1" pivotButton="0" quotePrefix="0" xfId="0">
      <alignment horizontal="general" vertical="bottom"/>
    </xf>
    <xf numFmtId="0" fontId="18" fillId="6" borderId="2" applyAlignment="1" pivotButton="0" quotePrefix="0" xfId="0">
      <alignment horizontal="center" vertical="bottom" wrapText="1"/>
    </xf>
    <xf numFmtId="0" fontId="0" fillId="0" borderId="2" applyAlignment="1" pivotButton="0" quotePrefix="0" xfId="0">
      <alignment horizontal="general" vertical="top" wrapText="1"/>
    </xf>
    <xf numFmtId="0" fontId="19" fillId="7" borderId="0" applyAlignment="1" pivotButton="0" quotePrefix="0" xfId="0">
      <alignment horizontal="general" vertical="bottom"/>
    </xf>
    <xf numFmtId="0" fontId="20" fillId="2" borderId="0" applyAlignment="1" pivotButton="0" quotePrefix="0" xfId="0">
      <alignment horizontal="center" vertical="center"/>
    </xf>
    <xf numFmtId="0" fontId="21" fillId="8" borderId="2" applyAlignment="1" pivotButton="0" quotePrefix="0" xfId="0">
      <alignment horizontal="center" vertical="bottom" wrapText="1"/>
    </xf>
    <xf numFmtId="0" fontId="22" fillId="0" borderId="2" applyAlignment="1" pivotButton="0" quotePrefix="0" xfId="0">
      <alignment horizontal="general" vertical="top" wrapText="1"/>
    </xf>
    <xf numFmtId="0" fontId="23" fillId="9" borderId="2" applyAlignment="1" pivotButton="0" quotePrefix="0" xfId="0">
      <alignment horizontal="general" vertical="top" wrapText="1"/>
    </xf>
    <xf numFmtId="0" fontId="23" fillId="10" borderId="2" applyAlignment="1" pivotButton="0" quotePrefix="0" xfId="0">
      <alignment horizontal="general" vertical="top" wrapText="1"/>
    </xf>
    <xf numFmtId="0" fontId="23" fillId="7" borderId="2" applyAlignment="1" pivotButton="0" quotePrefix="0" xfId="0">
      <alignment horizontal="general" vertical="top" wrapText="1"/>
    </xf>
    <xf numFmtId="0" fontId="23" fillId="11" borderId="2" applyAlignment="1" pivotButton="0" quotePrefix="0" xfId="0">
      <alignment horizontal="general" vertical="top" wrapText="1"/>
    </xf>
    <xf numFmtId="0" fontId="24" fillId="0" borderId="0" applyAlignment="1" pivotButton="0" quotePrefix="0" xfId="0">
      <alignment horizontal="general" vertical="bottom"/>
    </xf>
    <xf numFmtId="0" fontId="0" fillId="0" borderId="0" applyAlignment="1" pivotButton="0" quotePrefix="0" xfId="0">
      <alignment horizontal="general" vertical="top" wrapText="1"/>
    </xf>
    <xf numFmtId="0" fontId="8" fillId="12" borderId="1" applyAlignment="1" pivotButton="0" quotePrefix="0" xfId="0">
      <alignment horizontal="general" vertical="center" wrapText="1"/>
    </xf>
    <xf numFmtId="0" fontId="25" fillId="12" borderId="1" applyAlignment="1" pivotButton="0" quotePrefix="0" xfId="0">
      <alignment horizontal="general" vertical="center" wrapText="1"/>
    </xf>
    <xf numFmtId="0" fontId="26" fillId="12" borderId="1" applyAlignment="1" pivotButton="0" quotePrefix="0" xfId="0">
      <alignment horizontal="general" vertical="center" wrapText="1"/>
    </xf>
    <xf numFmtId="0" fontId="27" fillId="12" borderId="1" applyAlignment="1" pivotButton="0" quotePrefix="0" xfId="0">
      <alignment horizontal="center" vertical="center"/>
    </xf>
    <xf numFmtId="0" fontId="28" fillId="12" borderId="1" applyAlignment="1" pivotButton="0" quotePrefix="0" xfId="0">
      <alignment horizontal="center" vertical="center"/>
    </xf>
    <xf numFmtId="0" fontId="8" fillId="12" borderId="1" applyAlignment="1" pivotButton="0" quotePrefix="0" xfId="0">
      <alignment horizontal="center" vertical="center"/>
    </xf>
    <xf numFmtId="0" fontId="25" fillId="12" borderId="1" applyAlignment="1" pivotButton="0" quotePrefix="0" xfId="0">
      <alignment horizontal="center" vertical="center"/>
    </xf>
    <xf numFmtId="0" fontId="29" fillId="12" borderId="1" applyAlignment="1" pivotButton="0" quotePrefix="0" xfId="0">
      <alignment horizontal="center" vertical="center"/>
    </xf>
    <xf numFmtId="0" fontId="26" fillId="13" borderId="1" applyAlignment="1" pivotButton="0" quotePrefix="0" xfId="0">
      <alignment horizontal="general" vertical="center" wrapText="1"/>
    </xf>
    <xf numFmtId="0" fontId="26" fillId="4" borderId="1" applyAlignment="1" pivotButton="0" quotePrefix="0" xfId="0">
      <alignment horizontal="general" vertical="center" wrapText="1"/>
    </xf>
    <xf numFmtId="0" fontId="27" fillId="14" borderId="1" applyAlignment="1" pivotButton="0" quotePrefix="0" xfId="0">
      <alignment horizontal="center" vertical="center"/>
    </xf>
    <xf numFmtId="0" fontId="28" fillId="4" borderId="1" applyAlignment="1" pivotButton="0" quotePrefix="0" xfId="0">
      <alignment horizontal="center" vertical="center"/>
    </xf>
    <xf numFmtId="0" fontId="29" fillId="4" borderId="1" applyAlignment="1" pivotButton="0" quotePrefix="0" xfId="0">
      <alignment horizontal="center" vertical="center"/>
    </xf>
    <xf numFmtId="0" fontId="30" fillId="12" borderId="1" applyAlignment="1" pivotButton="0" quotePrefix="0" xfId="0">
      <alignment horizontal="center" vertical="center"/>
    </xf>
    <xf numFmtId="0" fontId="25" fillId="5" borderId="1" applyAlignment="1" pivotButton="0" quotePrefix="0" xfId="0">
      <alignment horizontal="general" vertical="center" wrapText="1"/>
    </xf>
    <xf numFmtId="0" fontId="30" fillId="5" borderId="1" applyAlignment="1" pivotButton="0" quotePrefix="0" xfId="0">
      <alignment horizontal="center" vertical="center"/>
    </xf>
    <xf numFmtId="0" fontId="29" fillId="5" borderId="1" applyAlignment="1" pivotButton="0" quotePrefix="0" xfId="0">
      <alignment horizontal="center" vertical="center"/>
    </xf>
    <xf numFmtId="0" fontId="31" fillId="12" borderId="1" applyAlignment="1" pivotButton="0" quotePrefix="0" xfId="0">
      <alignment horizontal="general" vertical="center" wrapText="1"/>
    </xf>
    <xf numFmtId="0" fontId="32" fillId="12" borderId="1" applyAlignment="1" pivotButton="0" quotePrefix="0" xfId="0">
      <alignment horizontal="center" vertical="center"/>
    </xf>
    <xf numFmtId="0" fontId="33" fillId="15" borderId="1" applyAlignment="1" pivotButton="0" quotePrefix="0" xfId="0">
      <alignment horizontal="general" vertical="center" wrapText="1"/>
    </xf>
    <xf numFmtId="0" fontId="34" fillId="14" borderId="1" applyAlignment="1" pivotButton="0" quotePrefix="0" xfId="0">
      <alignment horizontal="center" vertical="center"/>
    </xf>
    <xf numFmtId="0" fontId="35" fillId="5" borderId="1" applyAlignment="1" pivotButton="0" quotePrefix="0" xfId="0">
      <alignment horizontal="center" vertical="center"/>
    </xf>
    <xf numFmtId="0" fontId="33" fillId="15" borderId="1" applyAlignment="1" pivotButton="0" quotePrefix="0" xfId="0">
      <alignment horizontal="center" vertical="center"/>
    </xf>
    <xf numFmtId="0" fontId="36" fillId="4" borderId="1" applyAlignment="1" pivotButton="0" quotePrefix="0" xfId="0">
      <alignment horizontal="center" vertical="center"/>
    </xf>
    <xf numFmtId="0" fontId="37" fillId="12" borderId="1" applyAlignment="1" pivotButton="0" quotePrefix="0" xfId="0">
      <alignment horizontal="center" vertical="center"/>
    </xf>
    <xf numFmtId="0" fontId="26" fillId="5" borderId="1" applyAlignment="1" pivotButton="0" quotePrefix="0" xfId="0">
      <alignment horizontal="general" vertical="center" wrapText="1"/>
    </xf>
    <xf numFmtId="0" fontId="36" fillId="5" borderId="1" applyAlignment="1" pivotButton="0" quotePrefix="0" xfId="0">
      <alignment horizontal="center" vertical="center"/>
    </xf>
    <xf numFmtId="0" fontId="36" fillId="12" borderId="1" applyAlignment="1" pivotButton="0" quotePrefix="0" xfId="0">
      <alignment horizontal="center" vertical="center"/>
    </xf>
    <xf numFmtId="0" fontId="31" fillId="4" borderId="1" applyAlignment="1" pivotButton="0" quotePrefix="0" xfId="0">
      <alignment horizontal="general" vertical="center" wrapText="1"/>
    </xf>
    <xf numFmtId="0" fontId="32" fillId="4" borderId="1" applyAlignment="1" pivotButton="0" quotePrefix="0" xfId="0">
      <alignment horizontal="center" vertical="center"/>
    </xf>
    <xf numFmtId="0" fontId="31" fillId="5" borderId="1" applyAlignment="1" pivotButton="0" quotePrefix="0" xfId="0">
      <alignment horizontal="general" vertical="center" wrapText="1"/>
    </xf>
    <xf numFmtId="0" fontId="32" fillId="5" borderId="1" applyAlignment="1" pivotButton="0" quotePrefix="0" xfId="0">
      <alignment horizontal="center" vertical="center"/>
    </xf>
    <xf numFmtId="0" fontId="25" fillId="4" borderId="1" applyAlignment="1" pivotButton="0" quotePrefix="0" xfId="0">
      <alignment horizontal="general" vertical="center" wrapText="1"/>
    </xf>
    <xf numFmtId="0" fontId="38" fillId="4" borderId="1" applyAlignment="1" pivotButton="0" quotePrefix="0" xfId="0">
      <alignment horizontal="center" vertical="center"/>
    </xf>
    <xf numFmtId="0" fontId="38" fillId="5" borderId="1" applyAlignment="1" pivotButton="0" quotePrefix="0" xfId="0">
      <alignment horizontal="center" vertical="center"/>
    </xf>
    <xf numFmtId="0" fontId="38" fillId="12" borderId="1" applyAlignment="1" pivotButton="0" quotePrefix="0" xfId="0">
      <alignment horizontal="center" vertical="center"/>
    </xf>
    <xf numFmtId="0" fontId="28" fillId="5" borderId="1" applyAlignment="1" pivotButton="0" quotePrefix="0" xfId="0">
      <alignment horizontal="center" vertical="center"/>
    </xf>
    <xf numFmtId="0" fontId="39" fillId="5" borderId="1" applyAlignment="1" pivotButton="0" quotePrefix="0" xfId="0">
      <alignment horizontal="center" vertical="center"/>
    </xf>
    <xf numFmtId="0" fontId="40" fillId="0" borderId="0" applyAlignment="1" pivotButton="0" quotePrefix="0" xfId="0">
      <alignment horizontal="general" vertical="bottom"/>
    </xf>
    <xf numFmtId="0" fontId="39" fillId="12" borderId="1" applyAlignment="1" pivotButton="0" quotePrefix="0" xfId="0">
      <alignment horizontal="center" vertical="center"/>
    </xf>
    <xf numFmtId="0" fontId="41" fillId="12" borderId="1" applyAlignment="1" pivotButton="0" quotePrefix="0" xfId="0">
      <alignment horizontal="center" vertical="center"/>
    </xf>
    <xf numFmtId="0" fontId="41" fillId="5" borderId="1" applyAlignment="1" pivotButton="0" quotePrefix="0" xfId="0">
      <alignment horizontal="center" vertical="center"/>
    </xf>
    <xf numFmtId="0" fontId="41" fillId="4" borderId="1" applyAlignment="1" pivotButton="0" quotePrefix="0" xfId="0">
      <alignment horizontal="center" vertical="center"/>
    </xf>
    <xf numFmtId="0" fontId="39" fillId="4" borderId="1" applyAlignment="1" pivotButton="0" quotePrefix="0" xfId="0">
      <alignment horizontal="center" vertical="center"/>
    </xf>
    <xf numFmtId="0" fontId="0" fillId="12" borderId="0" applyAlignment="1" pivotButton="0" quotePrefix="0" xfId="0">
      <alignment horizontal="general" vertical="bottom"/>
    </xf>
    <xf numFmtId="0" fontId="42" fillId="16" borderId="3" applyAlignment="1" pivotButton="0" quotePrefix="0" xfId="0">
      <alignment horizontal="general" vertical="bottom"/>
    </xf>
    <xf numFmtId="0" fontId="0" fillId="16" borderId="3" applyAlignment="1" pivotButton="0" quotePrefix="0" xfId="0">
      <alignment horizontal="general" vertical="bottom"/>
    </xf>
    <xf numFmtId="0" fontId="43" fillId="0" borderId="3" applyAlignment="1" pivotButton="0" quotePrefix="0" xfId="0">
      <alignment horizontal="general" vertical="bottom"/>
    </xf>
    <xf numFmtId="0" fontId="44" fillId="4" borderId="1" applyAlignment="1" pivotButton="0" quotePrefix="0" xfId="0">
      <alignment horizontal="center" vertical="center"/>
    </xf>
    <xf numFmtId="0" fontId="35" fillId="4" borderId="1" applyAlignment="1" pivotButton="0" quotePrefix="0" xfId="0">
      <alignment horizontal="center" vertical="center"/>
    </xf>
    <xf numFmtId="0" fontId="44" fillId="12" borderId="1" applyAlignment="1" pivotButton="0" quotePrefix="0" xfId="0">
      <alignment horizontal="center" vertical="center"/>
    </xf>
    <xf numFmtId="0" fontId="25" fillId="17" borderId="1" applyAlignment="1" pivotButton="0" quotePrefix="0" xfId="0">
      <alignment horizontal="general" vertical="center" wrapText="1"/>
    </xf>
    <xf numFmtId="0" fontId="44" fillId="5" borderId="1" applyAlignment="1" pivotButton="0" quotePrefix="0" xfId="0">
      <alignment horizontal="center" vertical="center"/>
    </xf>
    <xf numFmtId="0" fontId="45" fillId="12" borderId="1" applyAlignment="1" pivotButton="0" quotePrefix="0" xfId="0">
      <alignment horizontal="general" vertical="center" wrapText="1"/>
    </xf>
    <xf numFmtId="0" fontId="45" fillId="18" borderId="1" applyAlignment="1" pivotButton="0" quotePrefix="0" xfId="0">
      <alignment horizontal="general" vertical="center" wrapText="1"/>
    </xf>
    <xf numFmtId="0" fontId="8" fillId="18" borderId="1" applyAlignment="1" pivotButton="0" quotePrefix="0" xfId="0">
      <alignment horizontal="general" vertical="center" wrapText="1"/>
    </xf>
    <xf numFmtId="0" fontId="27" fillId="18" borderId="1" applyAlignment="1" pivotButton="0" quotePrefix="0" xfId="0">
      <alignment horizontal="center" vertical="center"/>
    </xf>
    <xf numFmtId="0" fontId="38" fillId="18" borderId="1" applyAlignment="1" pivotButton="0" quotePrefix="0" xfId="0">
      <alignment horizontal="center" vertical="center"/>
    </xf>
    <xf numFmtId="0" fontId="8" fillId="18" borderId="1" applyAlignment="1" pivotButton="0" quotePrefix="0" xfId="0">
      <alignment horizontal="center" vertical="center"/>
    </xf>
    <xf numFmtId="0" fontId="45" fillId="5" borderId="1" applyAlignment="1" pivotButton="0" quotePrefix="0" xfId="0">
      <alignment horizontal="general" vertical="center" wrapText="1"/>
    </xf>
    <xf numFmtId="0" fontId="45" fillId="4" borderId="1" applyAlignment="1" pivotButton="0" quotePrefix="0" xfId="0">
      <alignment horizontal="general" vertical="center" wrapText="1"/>
    </xf>
    <xf numFmtId="0" fontId="33" fillId="12" borderId="1" applyAlignment="1" pivotButton="0" quotePrefix="0" xfId="0">
      <alignment horizontal="general" vertical="center" wrapText="1"/>
    </xf>
    <xf numFmtId="0" fontId="33" fillId="4" borderId="1" applyAlignment="1" pivotButton="0" quotePrefix="0" xfId="0">
      <alignment horizontal="general" vertical="center" wrapText="1"/>
    </xf>
    <xf numFmtId="0" fontId="46" fillId="5" borderId="1" applyAlignment="1" pivotButton="0" quotePrefix="0" xfId="0">
      <alignment horizontal="general" vertical="center" wrapText="1"/>
    </xf>
    <xf numFmtId="0" fontId="46" fillId="4" borderId="1" applyAlignment="1" pivotButton="0" quotePrefix="0" xfId="0">
      <alignment horizontal="general" vertical="center" wrapText="1"/>
    </xf>
    <xf numFmtId="0" fontId="47" fillId="0" borderId="0" applyAlignment="1" pivotButton="0" quotePrefix="0" xfId="0">
      <alignment horizontal="general" vertical="bottom"/>
    </xf>
    <xf numFmtId="0" fontId="48" fillId="8" borderId="0" applyAlignment="1" pivotButton="0" quotePrefix="0" xfId="0">
      <alignment horizontal="general" vertical="bottom"/>
    </xf>
    <xf numFmtId="0" fontId="48" fillId="19" borderId="0" applyAlignment="1" pivotButton="0" quotePrefix="0" xfId="0">
      <alignment horizontal="center" vertical="bottom"/>
    </xf>
    <xf numFmtId="0" fontId="0" fillId="0" borderId="0" applyAlignment="1" pivotButton="0" quotePrefix="0" xfId="0">
      <alignment horizontal="general" vertical="bottom" wrapText="1"/>
    </xf>
    <xf numFmtId="0" fontId="19" fillId="4" borderId="1" applyAlignment="1" pivotButton="0" quotePrefix="0" xfId="0">
      <alignment horizontal="general" vertical="center" wrapText="1"/>
    </xf>
    <xf numFmtId="0" fontId="19" fillId="0" borderId="0" applyAlignment="1" pivotButton="0" quotePrefix="0" xfId="0">
      <alignment horizontal="general" vertical="bottom"/>
    </xf>
    <xf numFmtId="0" fontId="49" fillId="20" borderId="0" applyAlignment="1" pivotButton="0" quotePrefix="0" xfId="0">
      <alignment horizontal="center" vertical="bottom"/>
    </xf>
    <xf numFmtId="0" fontId="50" fillId="21" borderId="0" applyAlignment="1" pivotButton="0" quotePrefix="0" xfId="0">
      <alignment horizontal="center" vertical="bottom"/>
    </xf>
    <xf numFmtId="0" fontId="51" fillId="22" borderId="3" applyAlignment="1" pivotButton="0" quotePrefix="0" xfId="0">
      <alignment horizontal="center" vertical="bottom"/>
    </xf>
    <xf numFmtId="0" fontId="19" fillId="0" borderId="0" applyAlignment="1" pivotButton="0" quotePrefix="0" xfId="0">
      <alignment horizontal="center" vertical="bottom"/>
    </xf>
    <xf numFmtId="0" fontId="49" fillId="0" borderId="0" applyAlignment="1" pivotButton="0" quotePrefix="0" xfId="0">
      <alignment horizontal="center" vertical="bottom"/>
    </xf>
    <xf numFmtId="0" fontId="52" fillId="0" borderId="0" applyAlignment="1" pivotButton="0" quotePrefix="0" xfId="0">
      <alignment horizontal="center" vertical="bottom"/>
    </xf>
    <xf numFmtId="0" fontId="19" fillId="7" borderId="0" applyAlignment="1" pivotButton="0" quotePrefix="0" xfId="0">
      <alignment horizontal="center" vertical="bottom"/>
    </xf>
    <xf numFmtId="3" fontId="53" fillId="0" borderId="2" applyAlignment="1" pivotButton="0" quotePrefix="0" xfId="0">
      <alignment horizontal="center" vertical="bottom"/>
    </xf>
    <xf numFmtId="3" fontId="0" fillId="0" borderId="0" applyAlignment="1" pivotButton="0" quotePrefix="0" xfId="0">
      <alignment horizontal="center" vertical="bottom"/>
    </xf>
    <xf numFmtId="3" fontId="43" fillId="0" borderId="3" applyAlignment="1" pivotButton="0" quotePrefix="0" xfId="0">
      <alignment horizontal="center" vertical="bottom"/>
    </xf>
    <xf numFmtId="0" fontId="0" fillId="0" borderId="0" applyAlignment="1" pivotButton="0" quotePrefix="0" xfId="0">
      <alignment horizontal="center" vertical="bottom"/>
    </xf>
    <xf numFmtId="0" fontId="54" fillId="4" borderId="1" applyAlignment="1" pivotButton="0" quotePrefix="0" xfId="0">
      <alignment horizontal="general" vertical="center" wrapText="1"/>
    </xf>
    <xf numFmtId="0" fontId="37" fillId="12" borderId="1" applyAlignment="1" pivotButton="0" quotePrefix="0" xfId="0">
      <alignment horizontal="general" vertical="center" wrapText="1"/>
    </xf>
    <xf numFmtId="0" fontId="37" fillId="12" borderId="0" applyAlignment="1" pivotButton="0" quotePrefix="0" xfId="0">
      <alignment horizontal="general" vertical="bottom"/>
    </xf>
    <xf numFmtId="0" fontId="37" fillId="12" borderId="1" applyAlignment="1" pivotButton="0" quotePrefix="0" xfId="0">
      <alignment horizontal="center" vertical="center" wrapText="1"/>
    </xf>
    <xf numFmtId="0" fontId="30" fillId="4" borderId="1" applyAlignment="1" pivotButton="0" quotePrefix="0" xfId="0">
      <alignment horizontal="center" vertical="center"/>
    </xf>
    <xf numFmtId="0" fontId="25" fillId="4" borderId="1" applyAlignment="1" pivotButton="0" quotePrefix="0" xfId="0">
      <alignment horizontal="center" vertical="center"/>
    </xf>
    <xf numFmtId="0" fontId="25" fillId="5" borderId="1" applyAlignment="1" pivotButton="0" quotePrefix="0" xfId="0">
      <alignment horizontal="center" vertical="center"/>
    </xf>
    <xf numFmtId="0" fontId="33" fillId="5" borderId="1" applyAlignment="1" pivotButton="0" quotePrefix="0" xfId="0">
      <alignment horizontal="center" vertical="center"/>
    </xf>
    <xf numFmtId="0" fontId="19" fillId="4" borderId="1" applyAlignment="1" pivotButton="0" quotePrefix="0" xfId="0">
      <alignment horizontal="center" vertical="center"/>
    </xf>
    <xf numFmtId="0" fontId="33" fillId="4" borderId="1" applyAlignment="1" pivotButton="0" quotePrefix="0" xfId="0">
      <alignment horizontal="center" vertical="center"/>
    </xf>
    <xf numFmtId="0" fontId="54" fillId="5" borderId="1" applyAlignment="1" pivotButton="0" quotePrefix="0" xfId="0">
      <alignment horizontal="center" vertical="center"/>
    </xf>
    <xf numFmtId="0" fontId="19" fillId="5" borderId="1" applyAlignment="1" pivotButton="0" quotePrefix="0" xfId="0">
      <alignment horizontal="center" vertical="center"/>
    </xf>
    <xf numFmtId="0" fontId="55" fillId="23" borderId="1" applyAlignment="1" pivotButton="0" quotePrefix="0" xfId="0">
      <alignment horizontal="center" vertical="center"/>
    </xf>
    <xf numFmtId="9" fontId="19" fillId="0" borderId="0" applyAlignment="1" pivotButton="0" quotePrefix="0" xfId="0">
      <alignment horizontal="general" vertical="bottom"/>
    </xf>
    <xf numFmtId="9" fontId="0" fillId="0" borderId="0" applyAlignment="1" pivotButton="0" quotePrefix="0" xfId="0">
      <alignment horizontal="general" vertical="bottom"/>
    </xf>
    <xf numFmtId="0" fontId="56" fillId="0" borderId="0" applyAlignment="1" pivotButton="0" quotePrefix="0" xfId="0">
      <alignment horizontal="general" vertical="bottom"/>
    </xf>
    <xf numFmtId="0" fontId="57" fillId="24" borderId="0" applyAlignment="1" pivotButton="0" quotePrefix="0" xfId="0">
      <alignment horizontal="general" vertical="bottom"/>
    </xf>
    <xf numFmtId="0" fontId="55" fillId="23" borderId="0" applyAlignment="1" pivotButton="0" quotePrefix="0" xfId="0">
      <alignment horizontal="general" vertical="bottom"/>
    </xf>
    <xf numFmtId="0" fontId="58" fillId="0" borderId="0" applyAlignment="1" pivotButton="0" quotePrefix="0" xfId="0">
      <alignment horizontal="general" vertical="bottom"/>
    </xf>
    <xf numFmtId="0" fontId="51" fillId="0" borderId="3" applyAlignment="1" pivotButton="0" quotePrefix="0" xfId="0">
      <alignment horizontal="general" vertical="bottom"/>
    </xf>
    <xf numFmtId="0" fontId="43" fillId="0" borderId="3" applyAlignment="1" pivotButton="0" quotePrefix="0" xfId="0">
      <alignment horizontal="center" vertical="bottom"/>
    </xf>
    <xf numFmtId="164" fontId="0" fillId="0" borderId="0" applyAlignment="1" pivotButton="0" quotePrefix="0" xfId="0">
      <alignment horizontal="general" vertical="bottom"/>
    </xf>
    <xf numFmtId="0" fontId="51" fillId="22" borderId="3" applyAlignment="1" pivotButton="0" quotePrefix="0" xfId="0">
      <alignment horizontal="general" vertical="bottom"/>
    </xf>
    <xf numFmtId="0" fontId="18" fillId="21" borderId="0" applyAlignment="1" pivotButton="0" quotePrefix="0" xfId="0">
      <alignment horizontal="general" vertical="bottom"/>
    </xf>
    <xf numFmtId="0" fontId="37" fillId="0" borderId="0" applyAlignment="1" pivotButton="0" quotePrefix="0" xfId="0">
      <alignment horizontal="center" vertical="bottom"/>
    </xf>
    <xf numFmtId="0" fontId="18" fillId="25" borderId="0" applyAlignment="1" pivotButton="0" quotePrefix="0" xfId="0">
      <alignment horizontal="general" vertical="bottom"/>
    </xf>
    <xf numFmtId="0" fontId="59" fillId="0" borderId="0" applyAlignment="1" pivotButton="0" quotePrefix="0" xfId="0">
      <alignment horizontal="general" vertical="bottom"/>
    </xf>
    <xf numFmtId="0" fontId="60" fillId="0" borderId="0" applyAlignment="1" pivotButton="0" quotePrefix="0" xfId="0">
      <alignment horizontal="general" vertical="bottom"/>
    </xf>
    <xf numFmtId="0" fontId="61" fillId="0" borderId="0" applyAlignment="1" pivotButton="0" quotePrefix="0" xfId="0">
      <alignment horizontal="general" vertical="bottom"/>
    </xf>
    <xf numFmtId="0" fontId="19" fillId="26" borderId="2" applyAlignment="1" pivotButton="0" quotePrefix="0" xfId="0">
      <alignment horizontal="general" vertical="bottom"/>
    </xf>
    <xf numFmtId="0" fontId="0" fillId="0" borderId="2" applyAlignment="1" pivotButton="0" quotePrefix="0" xfId="0">
      <alignment horizontal="general" vertical="bottom"/>
    </xf>
    <xf numFmtId="0" fontId="0" fillId="27" borderId="2" applyAlignment="1" pivotButton="0" quotePrefix="0" xfId="0">
      <alignment horizontal="general" vertical="bottom"/>
    </xf>
    <xf numFmtId="0" fontId="0" fillId="28" borderId="2" applyAlignment="1" pivotButton="0" quotePrefix="0" xfId="0">
      <alignment horizontal="general" vertical="bottom"/>
    </xf>
    <xf numFmtId="0" fontId="19" fillId="29" borderId="2" applyAlignment="1" pivotButton="0" quotePrefix="0" xfId="0">
      <alignment horizontal="general" vertical="bottom"/>
    </xf>
    <xf numFmtId="0" fontId="0" fillId="12" borderId="2" applyAlignment="1" pivotButton="0" quotePrefix="0" xfId="0">
      <alignment horizontal="general" vertical="bottom"/>
    </xf>
    <xf numFmtId="0" fontId="0" fillId="30" borderId="2" applyAlignment="1" pivotButton="0" quotePrefix="0" xfId="0">
      <alignment horizontal="general" vertical="bottom"/>
    </xf>
    <xf numFmtId="0" fontId="0" fillId="31" borderId="2" applyAlignment="1" pivotButton="0" quotePrefix="0" xfId="0">
      <alignment horizontal="general" vertical="bottom"/>
    </xf>
    <xf numFmtId="0" fontId="19" fillId="27" borderId="2" applyAlignment="1" pivotButton="0" quotePrefix="0" xfId="0">
      <alignment horizontal="general" vertical="bottom"/>
    </xf>
    <xf numFmtId="0" fontId="37" fillId="12" borderId="2" applyAlignment="1" pivotButton="0" quotePrefix="0" xfId="0">
      <alignment horizontal="general" vertical="bottom"/>
    </xf>
    <xf numFmtId="0" fontId="62" fillId="0" borderId="0" applyAlignment="1" pivotButton="0" quotePrefix="0" xfId="0">
      <alignment horizontal="general" vertical="bottom"/>
    </xf>
    <xf numFmtId="0" fontId="48" fillId="14" borderId="0" applyAlignment="1" pivotButton="0" quotePrefix="0" xfId="0">
      <alignment horizontal="center" vertical="bottom"/>
    </xf>
    <xf numFmtId="0" fontId="63" fillId="0" borderId="0" applyAlignment="1" pivotButton="0" quotePrefix="0" xfId="0">
      <alignment horizontal="general" vertical="bottom"/>
    </xf>
    <xf numFmtId="0" fontId="64" fillId="21" borderId="0" applyAlignment="1" pivotButton="0" quotePrefix="0" xfId="0">
      <alignment horizontal="general" vertical="bottom"/>
    </xf>
    <xf numFmtId="0" fontId="52" fillId="32" borderId="0" applyAlignment="1" pivotButton="0" quotePrefix="0" xfId="0">
      <alignment horizontal="center" vertical="bottom"/>
    </xf>
    <xf numFmtId="0" fontId="64" fillId="33" borderId="0" applyAlignment="1" pivotButton="0" quotePrefix="0" xfId="0">
      <alignment horizontal="general" vertical="bottom"/>
    </xf>
    <xf numFmtId="0" fontId="52" fillId="34" borderId="0" applyAlignment="1" pivotButton="0" quotePrefix="0" xfId="0">
      <alignment horizontal="center" vertical="bottom"/>
    </xf>
    <xf numFmtId="0" fontId="0" fillId="0" borderId="0" applyAlignment="1" pivotButton="0" quotePrefix="0" xfId="0">
      <alignment horizontal="left" vertical="bottom"/>
    </xf>
    <xf numFmtId="0" fontId="64" fillId="35" borderId="0" applyAlignment="1" pivotButton="0" quotePrefix="0" xfId="0">
      <alignment horizontal="center" vertical="bottom"/>
    </xf>
    <xf numFmtId="0" fontId="65" fillId="14" borderId="0" applyAlignment="1" pivotButton="0" quotePrefix="0" xfId="0">
      <alignment horizontal="general" vertical="bottom"/>
    </xf>
    <xf numFmtId="0" fontId="52" fillId="36" borderId="0" applyAlignment="1" pivotButton="0" quotePrefix="0" xfId="0">
      <alignment horizontal="center" vertical="bottom"/>
    </xf>
    <xf numFmtId="0" fontId="62" fillId="37" borderId="0" applyAlignment="1" pivotButton="0" quotePrefix="0" xfId="0">
      <alignment horizontal="general" vertical="top" wrapText="1"/>
    </xf>
    <xf numFmtId="0" fontId="62" fillId="0" borderId="0" applyAlignment="1" pivotButton="0" quotePrefix="0" xfId="0">
      <alignment horizontal="general" vertical="top" wrapText="1"/>
    </xf>
    <xf numFmtId="0" fontId="66" fillId="14" borderId="0" applyAlignment="1" pivotButton="0" quotePrefix="0" xfId="0">
      <alignment horizontal="center" vertical="bottom"/>
    </xf>
    <xf numFmtId="0" fontId="67" fillId="0" borderId="0" applyAlignment="1" pivotButton="0" quotePrefix="0" xfId="0">
      <alignment horizontal="general" vertical="bottom"/>
    </xf>
    <xf numFmtId="0" fontId="7" fillId="36" borderId="0" applyAlignment="1" pivotButton="0" quotePrefix="0" xfId="0">
      <alignment horizontal="center" vertical="bottom"/>
    </xf>
    <xf numFmtId="0" fontId="22" fillId="0" borderId="0" applyAlignment="1" pivotButton="0" quotePrefix="0" xfId="0">
      <alignment horizontal="general" vertical="bottom"/>
    </xf>
    <xf numFmtId="0" fontId="22" fillId="0" borderId="0" applyAlignment="1" pivotButton="0" quotePrefix="0" xfId="0">
      <alignment horizontal="center" vertical="bottom"/>
    </xf>
    <xf numFmtId="0" fontId="23" fillId="0" borderId="0" applyAlignment="1" pivotButton="0" quotePrefix="0" xfId="0">
      <alignment horizontal="general" vertical="bottom"/>
    </xf>
    <xf numFmtId="0" fontId="23" fillId="0" borderId="0" applyAlignment="1" pivotButton="0" quotePrefix="0" xfId="0">
      <alignment horizontal="center" vertical="bottom"/>
    </xf>
    <xf numFmtId="0" fontId="48" fillId="8" borderId="2" applyAlignment="1" pivotButton="0" quotePrefix="0" xfId="0">
      <alignment horizontal="center" vertical="bottom" wrapText="1"/>
    </xf>
    <xf numFmtId="0" fontId="0" fillId="38" borderId="2" applyAlignment="1" pivotButton="0" quotePrefix="0" xfId="0">
      <alignment horizontal="general" vertical="top" wrapText="1"/>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0" fontId="70" fillId="39" borderId="0" applyAlignment="1" pivotButton="0" quotePrefix="0" xfId="0">
      <alignment horizontal="center"/>
    </xf>
    <xf numFmtId="0" fontId="71" fillId="40" borderId="4" applyAlignment="1" pivotButton="0" quotePrefix="0" xfId="0">
      <alignment horizontal="center"/>
    </xf>
    <xf numFmtId="0" fontId="72" fillId="0" borderId="4" applyAlignment="1" pivotButton="0" quotePrefix="0" xfId="0">
      <alignment vertical="top" wrapText="1"/>
    </xf>
    <xf numFmtId="0" fontId="71" fillId="40" borderId="0" applyAlignment="1" pivotButton="0" quotePrefix="0" xfId="0">
      <alignment horizontal="center"/>
    </xf>
    <xf numFmtId="3" fontId="73" fillId="0" borderId="4" applyAlignment="1" pivotButton="0" quotePrefix="0" xfId="0">
      <alignment horizontal="center"/>
    </xf>
    <xf numFmtId="0" fontId="71" fillId="41" borderId="5" applyAlignment="1" pivotButton="0" quotePrefix="0" xfId="0">
      <alignment horizontal="center" wrapText="1"/>
    </xf>
    <xf numFmtId="0" fontId="0" fillId="42" borderId="5" applyAlignment="1" pivotButton="0" quotePrefix="0" xfId="0">
      <alignment vertical="top" wrapText="1"/>
    </xf>
    <xf numFmtId="0" fontId="0" fillId="43" borderId="5"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ill>
        <patternFill patternType="solid">
          <fgColor rgb="FF0F0F1A"/>
          <bgColor rgb="FF000000"/>
        </patternFill>
      </fill>
    </dxf>
    <dxf>
      <fill>
        <patternFill patternType="solid">
          <fgColor rgb="FF16162B"/>
          <bgColor rgb="FF000000"/>
        </patternFill>
      </fill>
    </dxf>
    <dxf>
      <fill>
        <patternFill patternType="solid">
          <fgColor rgb="FF1B1B2F"/>
          <bgColor rgb="FF000000"/>
        </patternFill>
      </fill>
    </dxf>
    <dxf>
      <fill>
        <patternFill patternType="solid">
          <fgColor rgb="FFC6EFCE"/>
          <bgColor rgb="FF000000"/>
        </patternFill>
      </fill>
    </dxf>
    <dxf>
      <fill>
        <patternFill patternType="solid">
          <fgColor rgb="FFE0E0E0"/>
          <bgColor rgb="FF000000"/>
        </patternFill>
      </fill>
    </dxf>
    <dxf>
      <fill>
        <patternFill patternType="solid">
          <fgColor rgb="FFF5A623"/>
          <bgColor rgb="FF000000"/>
        </patternFill>
      </fill>
    </dxf>
    <dxf>
      <fill>
        <patternFill patternType="solid">
          <fgColor rgb="FF0A3B2D"/>
          <bgColor rgb="FF000000"/>
        </patternFill>
      </fill>
    </dxf>
    <dxf>
      <fill>
        <patternFill patternType="solid">
          <fgColor rgb="FF3B0D0D"/>
          <bgColor rgb="FF000000"/>
        </patternFill>
      </fill>
    </dxf>
    <dxf>
      <fill>
        <patternFill patternType="solid">
          <fgColor rgb="FF4ADE80"/>
          <bgColor rgb="FF000000"/>
        </patternFill>
      </fill>
    </dxf>
    <dxf>
      <fill>
        <patternFill patternType="solid">
          <fgColor rgb="FFF87171"/>
          <bgColor rgb="FF000000"/>
        </patternFill>
      </fill>
    </dxf>
    <dxf>
      <fill>
        <patternFill patternType="solid">
          <fgColor rgb="FFFACC15"/>
          <bgColor rgb="FF000000"/>
        </patternFill>
      </fill>
    </dxf>
    <dxf>
      <fill>
        <patternFill patternType="solid">
          <fgColor rgb="FF60A5FA"/>
          <bgColor rgb="FF000000"/>
        </patternFill>
      </fill>
    </dxf>
    <dxf>
      <fill>
        <patternFill patternType="solid">
          <fgColor rgb="FF1A1A2E"/>
          <bgColor rgb="FF000000"/>
        </patternFill>
      </fill>
    </dxf>
    <dxf>
      <fill>
        <patternFill patternType="solid">
          <fgColor rgb="FF666666"/>
          <bgColor rgb="FF000000"/>
        </patternFill>
      </fill>
    </dxf>
    <dxf>
      <fill>
        <patternFill patternType="solid">
          <fgColor rgb="FF818CF8"/>
          <bgColor rgb="FF000000"/>
        </patternFill>
      </fill>
    </dxf>
    <dxf>
      <fill>
        <patternFill patternType="solid">
          <fgColor rgb="FFF472B6"/>
          <bgColor rgb="FF000000"/>
        </patternFill>
      </fill>
    </dxf>
    <dxf>
      <fill>
        <patternFill patternType="solid">
          <fgColor rgb="FFFB923C"/>
          <bgColor rgb="FF000000"/>
        </patternFill>
      </fill>
    </dxf>
    <dxf>
      <fill>
        <patternFill patternType="solid">
          <fgColor rgb="FF006100"/>
          <bgColor rgb="FF000000"/>
        </patternFill>
      </fill>
    </dxf>
    <dxf>
      <fill>
        <patternFill patternType="solid">
          <fgColor rgb="FF888888"/>
          <bgColor rgb="FF000000"/>
        </patternFill>
      </fill>
    </dxf>
    <dxf>
      <fill>
        <patternFill patternType="solid">
          <fgColor rgb="FF34D399"/>
          <bgColor rgb="FF000000"/>
        </patternFill>
      </fill>
    </dxf>
    <dxf>
      <fill>
        <patternFill patternType="solid">
          <fgColor rgb="FFA78BFA"/>
          <bgColor rgb="FF000000"/>
        </patternFill>
      </fill>
    </dxf>
    <dxf>
      <fill>
        <patternFill patternType="solid">
          <fgColor rgb="FF3B3500"/>
          <bgColor rgb="FF000000"/>
        </patternFill>
      </fill>
    </dxf>
    <dxf>
      <fill>
        <patternFill patternType="solid">
          <fgColor rgb="FFFFEB9C"/>
          <bgColor rgb="FF000000"/>
        </patternFill>
      </fill>
    </dxf>
  </dxfs>
  <colors>
    <indexedColors>
      <rgbColor rgb="FF000000"/>
      <rgbColor rgb="FFFFFFFF"/>
      <rgbColor rgb="FFF3F4F6"/>
      <rgbColor rgb="FFF0F0F0"/>
      <rgbColor rgb="FF1B2A4A"/>
      <rgbColor rgb="FFFFF2CC"/>
      <rgbColor rgb="FFFCE4EC"/>
      <rgbColor rgb="FFD9E2F3"/>
      <rgbColor rgb="FF1E1E2E"/>
      <rgbColor rgb="FF0A0A0C"/>
      <rgbColor rgb="FF16162B"/>
      <rgbColor rgb="FFFB923C"/>
      <rgbColor rgb="FF1B1B2F"/>
      <rgbColor rgb="FF1E3A5F"/>
      <rgbColor rgb="FFCCCCCC"/>
      <rgbColor rgb="FF818CF8"/>
      <rgbColor rgb="FFA78BFA"/>
      <rgbColor rgb="FF7030A0"/>
      <rgbColor rgb="FFFEF3C7"/>
      <rgbColor rgb="FFDBEAFE"/>
      <rgbColor rgb="FF3B0D0D"/>
      <rgbColor rgb="FFF87171"/>
      <rgbColor rgb="FF1A5276"/>
      <rgbColor rgb="FFD5C8F0"/>
      <rgbColor rgb="FF16213E"/>
      <rgbColor rgb="FFF2F2F2"/>
      <rgbColor rgb="FFFEE2E2"/>
      <rgbColor rgb="FFE8F0FE"/>
      <rgbColor rgb="FF1A1A2E"/>
      <rgbColor rgb="FF2B2B3D"/>
      <rgbColor rgb="FF60A5FA"/>
      <rgbColor rgb="FF0F0F1A"/>
      <rgbColor rgb="FF4ADE80"/>
      <rgbColor rgb="FFDCEAFB"/>
      <rgbColor rgb="FFC6EFCE"/>
      <rgbColor rgb="FFFFEB9C"/>
      <rgbColor rgb="FFBDD7EE"/>
      <rgbColor rgb="FFF472B6"/>
      <rgbColor rgb="FFDCDCDC"/>
      <rgbColor rgb="FFE8D44D"/>
      <rgbColor rgb="FF4472C4"/>
      <rgbColor rgb="FF34D399"/>
      <rgbColor rgb="FFF5A623"/>
      <rgbColor rgb="FFFACC15"/>
      <rgbColor rgb="FFFA8507"/>
      <rgbColor rgb="FFE74C3C"/>
      <rgbColor rgb="FF2F5496"/>
      <rgbColor rgb="FF909090"/>
      <rgbColor rgb="FF0F3460"/>
      <rgbColor rgb="FF446F44"/>
      <rgbColor rgb="FF063E1B"/>
      <rgbColor rgb="FF3B3500"/>
      <rgbColor rgb="FF922B21"/>
      <rgbColor rgb="FFE63946"/>
      <rgbColor rgb="FF39396B"/>
      <rgbColor rgb="FF2D2D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F5A623"/>
    <outlinePr summaryBelow="1" summaryRight="1"/>
    <pageSetUpPr fitToPage="0"/>
  </sheetPr>
  <dimension ref="A1:L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customHeight="1" zeroHeight="0" outlineLevelRow="0"/>
  <cols>
    <col width="8" customWidth="1" style="185" min="1" max="1"/>
    <col width="18" customWidth="1" style="185" min="2" max="2"/>
    <col width="22" customWidth="1" style="185" min="3" max="3"/>
    <col width="16" customWidth="1" style="185" min="4" max="4"/>
    <col width="50" customWidth="1" style="185" min="5" max="6"/>
    <col width="10" customWidth="1" style="185" min="7" max="11"/>
    <col width="12" customWidth="1" style="185" min="12" max="12"/>
  </cols>
  <sheetData>
    <row r="1" ht="19.5" customHeight="1" s="186">
      <c r="A1" s="187" t="inlineStr">
        <is>
          <t>WITYLOGIX — STARTUP ENGINEERING TEAM</t>
        </is>
      </c>
    </row>
    <row r="2" ht="15" customHeight="1" s="186">
      <c r="A2" s="188" t="inlineStr">
        <is>
          <t>9-person team organized into 5 squads — working in parallel across 6 phases</t>
        </is>
      </c>
    </row>
    <row r="4" ht="26.25" customHeight="1" s="186">
      <c r="A4" s="189" t="inlineStr">
        <is>
          <t>ID</t>
        </is>
      </c>
      <c r="B4" s="189" t="inlineStr">
        <is>
          <t>Name</t>
        </is>
      </c>
      <c r="C4" s="189" t="inlineStr">
        <is>
          <t>Role</t>
        </is>
      </c>
      <c r="D4" s="189" t="inlineStr">
        <is>
          <t>Squad</t>
        </is>
      </c>
      <c r="E4" s="189" t="inlineStr">
        <is>
          <t>Focus Areas</t>
        </is>
      </c>
      <c r="F4" s="189" t="inlineStr">
        <is>
          <t>Parallel Tracks</t>
        </is>
      </c>
      <c r="G4" s="189" t="inlineStr">
        <is>
          <t>Models</t>
        </is>
      </c>
      <c r="H4" s="189" t="inlineStr">
        <is>
          <t>Pages</t>
        </is>
      </c>
      <c r="I4" s="189" t="inlineStr">
        <is>
          <t>Services</t>
        </is>
      </c>
      <c r="J4" s="189" t="inlineStr">
        <is>
          <t>Infra</t>
        </is>
      </c>
      <c r="K4" s="189" t="inlineStr">
        <is>
          <t>Roadmap</t>
        </is>
      </c>
      <c r="L4" s="189" t="inlineStr">
        <is>
          <t>Total Items</t>
        </is>
      </c>
    </row>
    <row r="5" ht="23.25" customHeight="1" s="186">
      <c r="A5" s="190" t="inlineStr">
        <is>
          <t>AR</t>
        </is>
      </c>
      <c r="B5" s="191" t="inlineStr">
        <is>
          <t>Arjun Rajput</t>
        </is>
      </c>
      <c r="C5" s="192" t="inlineStr">
        <is>
          <t>CTO / Tech Lead</t>
        </is>
      </c>
      <c r="D5" s="192" t="inlineStr">
        <is>
          <t>Architecture</t>
        </is>
      </c>
      <c r="E5" s="192" t="inlineStr">
        <is>
          <t>System design, API architecture, DB schema, auth, infra decisions</t>
        </is>
      </c>
      <c r="F5" s="192" t="inlineStr">
        <is>
          <t>Auth system, RBAC, schema design, code reviews</t>
        </is>
      </c>
      <c r="G5" s="193">
        <f>COUNTIF('Data Models Gap'!I:I,"*AR*")</f>
        <v/>
      </c>
      <c r="H5" s="193">
        <f>COUNTIF('Feature Gap - Pages'!H:H,"*AR*")</f>
        <v/>
      </c>
      <c r="I5" s="193">
        <f>COUNTIF('Service &amp; API Gap'!H:H,"*AR*")</f>
        <v/>
      </c>
      <c r="J5" s="193">
        <f>COUNTIF('Infrastructure Gap'!H:H,"*AR*")</f>
        <v/>
      </c>
      <c r="K5" s="193">
        <f>COUNTIF('Priority Roadmap'!I:I,"*AR*")</f>
        <v/>
      </c>
      <c r="L5" s="190">
        <f>SUM(G5:K5)</f>
        <v/>
      </c>
    </row>
    <row r="6" ht="23.25" customHeight="1" s="186">
      <c r="A6" s="194" t="inlineStr">
        <is>
          <t>PK</t>
        </is>
      </c>
      <c r="B6" s="195" t="inlineStr">
        <is>
          <t>Priya Kapoor</t>
        </is>
      </c>
      <c r="C6" s="196" t="inlineStr">
        <is>
          <t>Sr. Backend Engineer</t>
        </is>
      </c>
      <c r="D6" s="196" t="inlineStr">
        <is>
          <t>Core Backend</t>
        </is>
      </c>
      <c r="E6" s="196" t="inlineStr">
        <is>
          <t>Order/shipment lifecycle, business logic, Shopify sync, webhooks</t>
        </is>
      </c>
      <c r="F6" s="196" t="inlineStr">
        <is>
          <t>Order CRUD, shipment model, webhook processors, Shopify sync engine</t>
        </is>
      </c>
      <c r="G6" s="197">
        <f>COUNTIF('Data Models Gap'!I:I,"*PK*")</f>
        <v/>
      </c>
      <c r="H6" s="197">
        <f>COUNTIF('Feature Gap - Pages'!H:H,"*PK*")</f>
        <v/>
      </c>
      <c r="I6" s="197">
        <f>COUNTIF('Service &amp; API Gap'!H:H,"*PK*")</f>
        <v/>
      </c>
      <c r="J6" s="197">
        <f>COUNTIF('Infrastructure Gap'!H:H,"*PK*")</f>
        <v/>
      </c>
      <c r="K6" s="197">
        <f>COUNTIF('Priority Roadmap'!I:I,"*PK*")</f>
        <v/>
      </c>
      <c r="L6" s="198">
        <f>SUM(G6:K6)</f>
        <v/>
      </c>
    </row>
    <row r="7" ht="23.25" customHeight="1" s="186">
      <c r="A7" s="199" t="inlineStr">
        <is>
          <t>VS</t>
        </is>
      </c>
      <c r="B7" s="191" t="inlineStr">
        <is>
          <t>Vikram Shah</t>
        </is>
      </c>
      <c r="C7" s="192" t="inlineStr">
        <is>
          <t>Backend Engineer</t>
        </is>
      </c>
      <c r="D7" s="192" t="inlineStr">
        <is>
          <t>Core Backend</t>
        </is>
      </c>
      <c r="E7" s="192" t="inlineStr">
        <is>
          <t>Route optimization, geospatial, carrier service, location mgmt</t>
        </is>
      </c>
      <c r="F7" s="192" t="inlineStr">
        <is>
          <t>PostGIS, route optimization, shipping profiles, delivery rules, carrier rates</t>
        </is>
      </c>
      <c r="G7" s="193">
        <f>COUNTIF('Data Models Gap'!I:I,"*VS*")</f>
        <v/>
      </c>
      <c r="H7" s="193">
        <f>COUNTIF('Feature Gap - Pages'!H:H,"*VS*")</f>
        <v/>
      </c>
      <c r="I7" s="193">
        <f>COUNTIF('Service &amp; API Gap'!H:H,"*VS*")</f>
        <v/>
      </c>
      <c r="J7" s="193">
        <f>COUNTIF('Infrastructure Gap'!H:H,"*VS*")</f>
        <v/>
      </c>
      <c r="K7" s="193">
        <f>COUNTIF('Priority Roadmap'!I:I,"*VS*")</f>
        <v/>
      </c>
      <c r="L7" s="190">
        <f>SUM(G7:K7)</f>
        <v/>
      </c>
    </row>
    <row r="8" ht="23.25" customHeight="1" s="186">
      <c r="A8" s="200" t="inlineStr">
        <is>
          <t>NK</t>
        </is>
      </c>
      <c r="B8" s="195" t="inlineStr">
        <is>
          <t>Neha Krishnan</t>
        </is>
      </c>
      <c r="C8" s="196" t="inlineStr">
        <is>
          <t>Sr. Frontend Engineer</t>
        </is>
      </c>
      <c r="D8" s="196" t="inlineStr">
        <is>
          <t>Frontend</t>
        </is>
      </c>
      <c r="E8" s="196" t="inlineStr">
        <is>
          <t>Dashboard UI, design system, pages, components, UX</t>
        </is>
      </c>
      <c r="F8" s="196" t="inlineStr">
        <is>
          <t>Design system, dashboard pages, settings, analytics, onboarding</t>
        </is>
      </c>
      <c r="G8" s="197">
        <f>COUNTIF('Data Models Gap'!I:I,"*NK*")</f>
        <v/>
      </c>
      <c r="H8" s="197">
        <f>COUNTIF('Feature Gap - Pages'!H:H,"*NK*")</f>
        <v/>
      </c>
      <c r="I8" s="197">
        <f>COUNTIF('Service &amp; API Gap'!H:H,"*NK*")</f>
        <v/>
      </c>
      <c r="J8" s="197">
        <f>COUNTIF('Infrastructure Gap'!H:H,"*NK*")</f>
        <v/>
      </c>
      <c r="K8" s="197">
        <f>COUNTIF('Priority Roadmap'!I:I,"*NK*")</f>
        <v/>
      </c>
      <c r="L8" s="198">
        <f>SUM(G8:K8)</f>
        <v/>
      </c>
    </row>
    <row r="9" ht="23.25" customHeight="1" s="186">
      <c r="A9" s="201" t="inlineStr">
        <is>
          <t>DM</t>
        </is>
      </c>
      <c r="B9" s="191" t="inlineStr">
        <is>
          <t>Dev Malhotra</t>
        </is>
      </c>
      <c r="C9" s="192" t="inlineStr">
        <is>
          <t>Frontend Engineer</t>
        </is>
      </c>
      <c r="D9" s="192" t="inlineStr">
        <is>
          <t>Frontend</t>
        </is>
      </c>
      <c r="E9" s="192" t="inlineStr">
        <is>
          <t>Order/shipment/route pages, map integrations, forms</t>
        </is>
      </c>
      <c r="F9" s="192" t="inlineStr">
        <is>
          <t>Order pages, shipment pages, route create/edit, zone map drawing, forms</t>
        </is>
      </c>
      <c r="G9" s="193">
        <f>COUNTIF('Data Models Gap'!I:I,"*DM*")</f>
        <v/>
      </c>
      <c r="H9" s="193">
        <f>COUNTIF('Feature Gap - Pages'!H:H,"*DM*")</f>
        <v/>
      </c>
      <c r="I9" s="193">
        <f>COUNTIF('Service &amp; API Gap'!H:H,"*DM*")</f>
        <v/>
      </c>
      <c r="J9" s="193">
        <f>COUNTIF('Infrastructure Gap'!H:H,"*DM*")</f>
        <v/>
      </c>
      <c r="K9" s="193">
        <f>COUNTIF('Priority Roadmap'!I:I,"*DM*")</f>
        <v/>
      </c>
      <c r="L9" s="190">
        <f>SUM(G9:K9)</f>
        <v/>
      </c>
    </row>
    <row r="10" ht="23.25" customHeight="1" s="186">
      <c r="A10" s="202" t="inlineStr">
        <is>
          <t>SP</t>
        </is>
      </c>
      <c r="B10" s="195" t="inlineStr">
        <is>
          <t>Sanya Patel</t>
        </is>
      </c>
      <c r="C10" s="196" t="inlineStr">
        <is>
          <t>Full-Stack Engineer</t>
        </is>
      </c>
      <c r="D10" s="196" t="inlineStr">
        <is>
          <t>Integrations</t>
        </is>
      </c>
      <c r="E10" s="196" t="inlineStr">
        <is>
          <t>Notification providers, email/SMS/WhatsApp, Firebase push, templates</t>
        </is>
      </c>
      <c r="F10" s="196" t="inlineStr">
        <is>
          <t>SendGrid, Twilio, WhatsApp, FCM, notification templates, campaign system</t>
        </is>
      </c>
      <c r="G10" s="197">
        <f>COUNTIF('Data Models Gap'!I:I,"*SP*")</f>
        <v/>
      </c>
      <c r="H10" s="197">
        <f>COUNTIF('Feature Gap - Pages'!H:H,"*SP*")</f>
        <v/>
      </c>
      <c r="I10" s="197">
        <f>COUNTIF('Service &amp; API Gap'!H:H,"*SP*")</f>
        <v/>
      </c>
      <c r="J10" s="197">
        <f>COUNTIF('Infrastructure Gap'!H:H,"*SP*")</f>
        <v/>
      </c>
      <c r="K10" s="197">
        <f>COUNTIF('Priority Roadmap'!I:I,"*SP*")</f>
        <v/>
      </c>
      <c r="L10" s="198">
        <f>SUM(G10:K10)</f>
        <v/>
      </c>
    </row>
    <row r="11" ht="23.25" customHeight="1" s="186">
      <c r="A11" s="203" t="inlineStr">
        <is>
          <t>RG</t>
        </is>
      </c>
      <c r="B11" s="191" t="inlineStr">
        <is>
          <t>Rohan Gupta</t>
        </is>
      </c>
      <c r="C11" s="192" t="inlineStr">
        <is>
          <t>Full-Stack Engineer</t>
        </is>
      </c>
      <c r="D11" s="192" t="inlineStr">
        <is>
          <t>Integrations</t>
        </is>
      </c>
      <c r="E11" s="192" t="inlineStr">
        <is>
          <t>Payment gateways, billing, analytics, 3rd-party APIs, super admin</t>
        </is>
      </c>
      <c r="F11" s="192" t="inlineStr">
        <is>
          <t>Payment module, billing/plans, analytics engine, cart plugin, POS</t>
        </is>
      </c>
      <c r="G11" s="193">
        <f>COUNTIF('Data Models Gap'!I:I,"*RG*")</f>
        <v/>
      </c>
      <c r="H11" s="193">
        <f>COUNTIF('Feature Gap - Pages'!H:H,"*RG*")</f>
        <v/>
      </c>
      <c r="I11" s="193">
        <f>COUNTIF('Service &amp; API Gap'!H:H,"*RG*")</f>
        <v/>
      </c>
      <c r="J11" s="193">
        <f>COUNTIF('Infrastructure Gap'!H:H,"*RG*")</f>
        <v/>
      </c>
      <c r="K11" s="193">
        <f>COUNTIF('Priority Roadmap'!I:I,"*RG*")</f>
        <v/>
      </c>
      <c r="L11" s="190">
        <f>SUM(G11:K11)</f>
        <v/>
      </c>
    </row>
    <row r="12" ht="23.25" customHeight="1" s="186">
      <c r="A12" s="204" t="inlineStr">
        <is>
          <t>AM</t>
        </is>
      </c>
      <c r="B12" s="195" t="inlineStr">
        <is>
          <t>Aisha Mehra</t>
        </is>
      </c>
      <c r="C12" s="196" t="inlineStr">
        <is>
          <t>DevOps / Infra Engineer</t>
        </is>
      </c>
      <c r="D12" s="196" t="inlineStr">
        <is>
          <t>Platform</t>
        </is>
      </c>
      <c r="E12" s="196" t="inlineStr">
        <is>
          <t>Docker, CI/CD, Redis, BullMQ, PostGIS, monitoring, deployment</t>
        </is>
      </c>
      <c r="F12" s="196" t="inlineStr">
        <is>
          <t>Queue infrastructure, Redis caching, PostGIS setup, Docker, CI/CD, logging</t>
        </is>
      </c>
      <c r="G12" s="197">
        <f>COUNTIF('Data Models Gap'!I:I,"*AM*")</f>
        <v/>
      </c>
      <c r="H12" s="197">
        <f>COUNTIF('Feature Gap - Pages'!H:H,"*AM*")</f>
        <v/>
      </c>
      <c r="I12" s="197">
        <f>COUNTIF('Service &amp; API Gap'!H:H,"*AM*")</f>
        <v/>
      </c>
      <c r="J12" s="197">
        <f>COUNTIF('Infrastructure Gap'!H:H,"*AM*")</f>
        <v/>
      </c>
      <c r="K12" s="197">
        <f>COUNTIF('Priority Roadmap'!I:I,"*AM*")</f>
        <v/>
      </c>
      <c r="L12" s="198">
        <f>SUM(G12:K12)</f>
        <v/>
      </c>
    </row>
    <row r="13" ht="23.25" customHeight="1" s="186">
      <c r="A13" s="205" t="inlineStr">
        <is>
          <t>KS</t>
        </is>
      </c>
      <c r="B13" s="191" t="inlineStr">
        <is>
          <t>Kabir Singh</t>
        </is>
      </c>
      <c r="C13" s="192" t="inlineStr">
        <is>
          <t>QA / Test Engineer</t>
        </is>
      </c>
      <c r="D13" s="192" t="inlineStr">
        <is>
          <t>Quality</t>
        </is>
      </c>
      <c r="E13" s="192" t="inlineStr">
        <is>
          <t>Test strategy, E2E tests, API tests, regression, data migration QA</t>
        </is>
      </c>
      <c r="F13" s="192" t="inlineStr">
        <is>
          <t>Test framework setup, API test suites, E2E scenarios, migration validation</t>
        </is>
      </c>
      <c r="G13" s="193">
        <f>COUNTIF('Data Models Gap'!I:I,"*KS*")</f>
        <v/>
      </c>
      <c r="H13" s="193">
        <f>COUNTIF('Feature Gap - Pages'!H:H,"*KS*")</f>
        <v/>
      </c>
      <c r="I13" s="193">
        <f>COUNTIF('Service &amp; API Gap'!H:H,"*KS*")</f>
        <v/>
      </c>
      <c r="J13" s="193">
        <f>COUNTIF('Infrastructure Gap'!H:H,"*KS*")</f>
        <v/>
      </c>
      <c r="K13" s="193">
        <f>COUNTIF('Priority Roadmap'!I:I,"*KS*")</f>
        <v/>
      </c>
      <c r="L13" s="190">
        <f>SUM(G13:K13)</f>
        <v/>
      </c>
    </row>
    <row r="14" ht="15" customHeight="1" s="186">
      <c r="A14" s="206" t="inlineStr">
        <is>
          <t>TOTAL</t>
        </is>
      </c>
      <c r="B14" s="207" t="n"/>
      <c r="C14" s="207" t="n"/>
      <c r="D14" s="207" t="n"/>
      <c r="E14" s="207" t="n"/>
      <c r="F14" s="207" t="n"/>
      <c r="G14" s="208">
        <f>SUM(G5:G13)</f>
        <v/>
      </c>
      <c r="H14" s="208">
        <f>SUM(H5:H13)</f>
        <v/>
      </c>
      <c r="I14" s="208">
        <f>SUM(I5:I13)</f>
        <v/>
      </c>
      <c r="J14" s="208">
        <f>SUM(J5:J13)</f>
        <v/>
      </c>
      <c r="K14" s="208">
        <f>SUM(K5:K13)</f>
        <v/>
      </c>
      <c r="L14" s="208">
        <f>SUM(L5:L13)</f>
        <v/>
      </c>
    </row>
    <row r="16" ht="17.25" customHeight="1" s="186">
      <c r="A16" s="209" t="inlineStr">
        <is>
          <t>Squad Structure</t>
        </is>
      </c>
    </row>
    <row r="17" ht="26.25" customHeight="1" s="186">
      <c r="A17" s="189" t="inlineStr">
        <is>
          <t>Squad</t>
        </is>
      </c>
      <c r="B17" s="189" t="inlineStr">
        <is>
          <t>Members</t>
        </is>
      </c>
      <c r="C17" s="189" t="inlineStr">
        <is>
          <t>Primary Responsibility</t>
        </is>
      </c>
      <c r="D17" s="189" t="inlineStr">
        <is>
          <t>Phase Focus</t>
        </is>
      </c>
    </row>
    <row r="18" ht="34.5" customHeight="1" s="186">
      <c r="A18" s="192" t="inlineStr">
        <is>
          <t>Architecture</t>
        </is>
      </c>
      <c r="B18" s="192" t="inlineStr">
        <is>
          <t>AR (Arjun)</t>
        </is>
      </c>
      <c r="C18" s="192" t="inlineStr">
        <is>
          <t>System design, auth, schema, cross-cutting concerns, code reviews</t>
        </is>
      </c>
      <c r="D18" s="192" t="inlineStr">
        <is>
          <t>Phase 1 lead, oversight all phases</t>
        </is>
      </c>
    </row>
    <row r="19" ht="34.5" customHeight="1" s="186">
      <c r="A19" s="196" t="inlineStr">
        <is>
          <t>Core Backend</t>
        </is>
      </c>
      <c r="B19" s="196" t="inlineStr">
        <is>
          <t>PK (Priya), VS (Vikram)</t>
        </is>
      </c>
      <c r="C19" s="196" t="inlineStr">
        <is>
          <t>Order lifecycle, shipments, routes, shipping profiles, Shopify sync</t>
        </is>
      </c>
      <c r="D19" s="196" t="inlineStr">
        <is>
          <t>Phase 1-2 primary, Phase 4 support</t>
        </is>
      </c>
    </row>
    <row r="20" ht="34.5" customHeight="1" s="186">
      <c r="A20" s="192" t="inlineStr">
        <is>
          <t>Frontend</t>
        </is>
      </c>
      <c r="B20" s="192" t="inlineStr">
        <is>
          <t>NK (Neha), DM (Dev)</t>
        </is>
      </c>
      <c r="C20" s="192" t="inlineStr">
        <is>
          <t>Dashboard UI, all pages, design system, map integrations, UX</t>
        </is>
      </c>
      <c r="D20" s="192" t="inlineStr">
        <is>
          <t>Phase 1-2 primary (parallel with backend)</t>
        </is>
      </c>
    </row>
    <row r="21" ht="34.5" customHeight="1" s="186">
      <c r="A21" s="196" t="inlineStr">
        <is>
          <t>Integrations</t>
        </is>
      </c>
      <c r="B21" s="196" t="inlineStr">
        <is>
          <t>SP (Sanya), RG (Rohan)</t>
        </is>
      </c>
      <c r="C21" s="196" t="inlineStr">
        <is>
          <t>Notifications, payments, billing, analytics, 3rd-party APIs</t>
        </is>
      </c>
      <c r="D21" s="196" t="inlineStr">
        <is>
          <t>Phase 3-4 primary, Phase 5-6</t>
        </is>
      </c>
    </row>
    <row r="22" ht="34.5" customHeight="1" s="186">
      <c r="A22" s="192" t="inlineStr">
        <is>
          <t>Platform</t>
        </is>
      </c>
      <c r="B22" s="192" t="inlineStr">
        <is>
          <t>AM (Aisha)</t>
        </is>
      </c>
      <c r="C22" s="192" t="inlineStr">
        <is>
          <t>Infrastructure, DevOps, queues, caching, monitoring, deployment</t>
        </is>
      </c>
      <c r="D22" s="192" t="inlineStr">
        <is>
          <t>Phase 1 setup, continuous throughout</t>
        </is>
      </c>
    </row>
    <row r="23" ht="34.5" customHeight="1" s="186">
      <c r="A23" s="196" t="inlineStr">
        <is>
          <t>Quality</t>
        </is>
      </c>
      <c r="B23" s="196" t="inlineStr">
        <is>
          <t>KS (Kabir)</t>
        </is>
      </c>
      <c r="C23" s="196" t="inlineStr">
        <is>
          <t>Test strategy, automation, E2E, API tests, migration validation</t>
        </is>
      </c>
      <c r="D23" s="196" t="inlineStr">
        <is>
          <t>Continuous from Phase 2 onwards</t>
        </is>
      </c>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85" min="1" max="1"/>
    <col width="16" customWidth="1" style="185" min="2" max="2"/>
    <col width="40" customWidth="1" style="185" min="3" max="3"/>
    <col width="45" customWidth="1" style="185" min="4" max="4"/>
    <col width="55" customWidth="1" style="185" min="5" max="5"/>
    <col width="10" customWidth="1" style="185" min="6" max="6"/>
    <col width="12" customWidth="1" style="185" min="7" max="7"/>
  </cols>
  <sheetData>
    <row r="1" ht="15" customHeight="1" s="186">
      <c r="A1" s="210" t="inlineStr">
        <is>
          <t>Agent</t>
        </is>
      </c>
      <c r="B1" s="210" t="inlineStr">
        <is>
          <t>Role</t>
        </is>
      </c>
      <c r="C1" s="210" t="inlineStr">
        <is>
          <t>Task</t>
        </is>
      </c>
      <c r="D1" s="210" t="inlineStr">
        <is>
          <t>Files/Packages</t>
        </is>
      </c>
      <c r="E1" s="210" t="inlineStr">
        <is>
          <t>Key Deliverables</t>
        </is>
      </c>
      <c r="F1" s="210" t="inlineStr">
        <is>
          <t>Gap Ref</t>
        </is>
      </c>
      <c r="G1" s="210" t="inlineStr">
        <is>
          <t>Status</t>
        </is>
      </c>
    </row>
    <row r="2" ht="23.85" customHeight="1" s="186">
      <c r="A2" s="211" t="inlineStr">
        <is>
          <t>AR - Arjun</t>
        </is>
      </c>
      <c r="B2" s="211" t="inlineStr">
        <is>
          <t>CTO</t>
        </is>
      </c>
      <c r="C2" s="211" t="inlineStr">
        <is>
          <t>Planned-vs-Actual Analytics Dashboard + ADR-025</t>
        </is>
      </c>
      <c r="D2" s="211" t="inlineStr">
        <is>
          <t>docs/adr/ADR-025-*.md, apps/dashboard/src/app/(dashboard)/analytics/*</t>
        </is>
      </c>
      <c r="E2" s="211" t="inlineStr">
        <is>
          <t>Route analytics page, on-time %, driver scorecard, CO2 estimates, planned-vs-actual comparison, trend charts</t>
        </is>
      </c>
      <c r="F2" s="211" t="inlineStr">
        <is>
          <t>G-10</t>
        </is>
      </c>
      <c r="G2" s="211" t="inlineStr">
        <is>
          <t>TODO</t>
        </is>
      </c>
    </row>
    <row r="3" ht="23.85" customHeight="1" s="186">
      <c r="A3" s="211" t="inlineStr">
        <is>
          <t>DM - Deepak</t>
        </is>
      </c>
      <c r="B3" s="211" t="inlineStr">
        <is>
          <t>Frontend</t>
        </is>
      </c>
      <c r="C3" s="211" t="inlineStr">
        <is>
          <t>Customer Portal v2 — Real-Time Tracking + Maps</t>
        </is>
      </c>
      <c r="D3" s="211" t="inlineStr">
        <is>
          <t>apps/customer-portal/src/app/track/*, apps/customer-portal/src/components/live-map.tsx</t>
        </is>
      </c>
      <c r="E3" s="211" t="inlineStr">
        <is>
          <t>Live WebSocket tracking, Leaflet map with driver position, ETA countdown, mobile-responsive polish, delivery history</t>
        </is>
      </c>
      <c r="F3" s="211" t="inlineStr">
        <is>
          <t>—</t>
        </is>
      </c>
      <c r="G3" s="211" t="inlineStr">
        <is>
          <t>TODO</t>
        </is>
      </c>
    </row>
    <row r="4" ht="23.85" customHeight="1" s="186">
      <c r="A4" s="211" t="inlineStr">
        <is>
          <t>NK - Nikhil</t>
        </is>
      </c>
      <c r="B4" s="211" t="inlineStr">
        <is>
          <t>Frontend Lead</t>
        </is>
      </c>
      <c r="C4" s="211" t="inlineStr">
        <is>
          <t>Google Maps Native UI Components</t>
        </is>
      </c>
      <c r="D4" s="211" t="inlineStr">
        <is>
          <t>packages/ui/src/maps/*, apps/dashboard/src/components/maps/*</t>
        </is>
      </c>
      <c r="E4" s="211" t="inlineStr">
        <is>
          <t>Address autocomplete, zone map visualization, embedded route map, draggable zone polygon editor, place search</t>
        </is>
      </c>
      <c r="F4" s="211" t="inlineStr">
        <is>
          <t>G-09</t>
        </is>
      </c>
      <c r="G4" s="211" t="inlineStr">
        <is>
          <t>TODO</t>
        </is>
      </c>
    </row>
    <row r="5" ht="23.85" customHeight="1" s="186">
      <c r="A5" s="211" t="inlineStr">
        <is>
          <t>RG - Rahul</t>
        </is>
      </c>
      <c r="B5" s="211" t="inlineStr">
        <is>
          <t>Backend Lead</t>
        </is>
      </c>
      <c r="C5" s="211" t="inlineStr">
        <is>
          <t>WooCommerce REST API Adapter</t>
        </is>
      </c>
      <c r="D5" s="211" t="inlineStr">
        <is>
          <t>packages/core/src/integrations/woocommerce/*, apps/api/src/routes/integrations/woocommerce.ts</t>
        </is>
      </c>
      <c r="E5" s="211" t="inlineStr">
        <is>
          <t>Order sync (create/update/delete), product sync, customer sync, webhook consumer, WC REST v3 client, retry logic</t>
        </is>
      </c>
      <c r="F5" s="211" t="inlineStr">
        <is>
          <t>G-08</t>
        </is>
      </c>
      <c r="G5" s="211" t="inlineStr">
        <is>
          <t>TODO</t>
        </is>
      </c>
    </row>
    <row r="6" ht="35.05" customHeight="1" s="186">
      <c r="A6" s="211" t="inlineStr">
        <is>
          <t>SP - Sanjay</t>
        </is>
      </c>
      <c r="B6" s="211" t="inlineStr">
        <is>
          <t>Full-stack</t>
        </is>
      </c>
      <c r="C6" s="211" t="inlineStr">
        <is>
          <t>Notification Preferences UI + WhatsApp Templates</t>
        </is>
      </c>
      <c r="D6" s="211" t="inlineStr">
        <is>
          <t>apps/dashboard/src/app/(dashboard)/notifications/*, packages/core/src/notifications-v2/templates/*</t>
        </is>
      </c>
      <c r="E6" s="211" t="inlineStr">
        <is>
          <t>Dashboard notification settings page, per-tenant channel config, WhatsApp template CRUD, delivery notification preview, test send</t>
        </is>
      </c>
      <c r="F6" s="211" t="inlineStr">
        <is>
          <t>G-06</t>
        </is>
      </c>
      <c r="G6" s="211" t="inlineStr">
        <is>
          <t>TODO</t>
        </is>
      </c>
    </row>
    <row r="7" ht="23.85" customHeight="1" s="186">
      <c r="A7" s="211" t="inlineStr">
        <is>
          <t>VS - Vikram</t>
        </is>
      </c>
      <c r="B7" s="211" t="inlineStr">
        <is>
          <t>Component Dev</t>
        </is>
      </c>
      <c r="C7" s="211" t="inlineStr">
        <is>
          <t>Analytics Chart Components + KPI Library</t>
        </is>
      </c>
      <c r="D7" s="211" t="inlineStr">
        <is>
          <t>apps/dashboard/src/components/analytics/*, apps/dashboard/src/components/ui/chart-*.tsx</t>
        </is>
      </c>
      <c r="E7" s="211" t="inlineStr">
        <is>
          <t>Line chart, bar chart, pie chart, heatmap, KPI card, comparison card, sparkline, chart tooltip, responsive containers</t>
        </is>
      </c>
      <c r="F7" s="211" t="inlineStr">
        <is>
          <t>—</t>
        </is>
      </c>
      <c r="G7" s="211" t="inlineStr">
        <is>
          <t>TODO</t>
        </is>
      </c>
    </row>
    <row r="8" ht="35.05" customHeight="1" s="186">
      <c r="A8" s="211" t="inlineStr">
        <is>
          <t>PK - Priya</t>
        </is>
      </c>
      <c r="B8" s="211" t="inlineStr">
        <is>
          <t>Sr. Backend</t>
        </is>
      </c>
      <c r="C8" s="211" t="inlineStr">
        <is>
          <t>Invoice Engine Foundation</t>
        </is>
      </c>
      <c r="D8" s="211" t="inlineStr">
        <is>
          <t>packages/core/src/invoicing/*, packages/db/prisma/schema/45-invoices.prisma, apps/api/src/routes/invoices.ts</t>
        </is>
      </c>
      <c r="E8" s="211" t="inlineStr">
        <is>
          <t>Invoice model (8+ fields), per-delivery cost calc, PDF generation (pdfkit), invoice API (CRUD + send), Prisma schema</t>
        </is>
      </c>
      <c r="F8" s="211" t="inlineStr">
        <is>
          <t>G-13</t>
        </is>
      </c>
      <c r="G8" s="211" t="inlineStr">
        <is>
          <t>TODO</t>
        </is>
      </c>
    </row>
    <row r="9" ht="23.85" customHeight="1" s="186">
      <c r="A9" s="211" t="inlineStr">
        <is>
          <t>KS - Kavitha</t>
        </is>
      </c>
      <c r="B9" s="211" t="inlineStr">
        <is>
          <t>QA Lead</t>
        </is>
      </c>
      <c r="C9" s="211" t="inlineStr">
        <is>
          <t>Integration Tests + Sprint 4.5 Unit Tests</t>
        </is>
      </c>
      <c r="D9" s="211" t="inlineStr">
        <is>
          <t>tests/e2e/specs/integrations/*, tests/unit/woocommerce/*, tests/unit/analytics/*</t>
        </is>
      </c>
      <c r="E9" s="211" t="inlineStr">
        <is>
          <t>WooCommerce adapter tests, analytics API tests, notification integration tests, POD unit tests, invoice API tests</t>
        </is>
      </c>
      <c r="F9" s="211" t="inlineStr">
        <is>
          <t>—</t>
        </is>
      </c>
      <c r="G9" s="211" t="inlineStr">
        <is>
          <t>TODO</t>
        </is>
      </c>
    </row>
    <row r="10" ht="35.05" customHeight="1" s="186">
      <c r="A10" s="211" t="inlineStr">
        <is>
          <t>AM - Aisha</t>
        </is>
      </c>
      <c r="B10" s="211" t="inlineStr">
        <is>
          <t>Integration</t>
        </is>
      </c>
      <c r="C10" s="211" t="inlineStr">
        <is>
          <t>WooCommerce Checkout Block + Platform Bridge</t>
        </is>
      </c>
      <c r="D10" s="211" t="inlineStr">
        <is>
          <t>extensions/woocommerce-block/*, packages/core/src/integrations/woocommerce/checkout-block.ts</t>
        </is>
      </c>
      <c r="E10" s="211" t="inlineStr">
        <is>
          <t>WC checkout block extension, delivery date picker for WC, Shopify-WC data normalizer, webhook normalization layer</t>
        </is>
      </c>
      <c r="F10" s="211" t="inlineStr">
        <is>
          <t>G-08</t>
        </is>
      </c>
      <c r="G10" s="211" t="inlineStr">
        <is>
          <t>TODO</t>
        </is>
      </c>
    </row>
    <row r="11" ht="35.05" customHeight="1" s="186">
      <c r="A11" s="211" t="inlineStr">
        <is>
          <t>ZR - Zara</t>
        </is>
      </c>
      <c r="B11" s="211" t="inlineStr">
        <is>
          <t>AI Engineer</t>
        </is>
      </c>
      <c r="C11" s="211" t="inlineStr">
        <is>
          <t>Route Analytics ML — Efficiency &amp; Prediction</t>
        </is>
      </c>
      <c r="D11" s="211" t="inlineStr">
        <is>
          <t>packages/core/src/ai-analytics/*, apps/api/src/routes/ai/analytics.ts</t>
        </is>
      </c>
      <c r="E11" s="211" t="inlineStr">
        <is>
          <t>Route efficiency scoring model, driver performance ML, delivery time prediction refinement, route anomaly detection, API endpoints</t>
        </is>
      </c>
      <c r="F11" s="211" t="inlineStr">
        <is>
          <t>G-10</t>
        </is>
      </c>
      <c r="G11" s="211" t="inlineStr">
        <is>
          <t>TODO</t>
        </is>
      </c>
    </row>
    <row r="13" ht="15" customHeight="1" s="186">
      <c r="A13" s="212" t="inlineStr">
        <is>
          <t>THEME</t>
        </is>
      </c>
      <c r="B13" s="212" t="inlineStr">
        <is>
          <t>Sprint 4.6 — Integrations, Analytics &amp; Platform Maturity</t>
        </is>
      </c>
      <c r="C13" s="212" t="n"/>
      <c r="D13" s="212" t="n"/>
      <c r="E13" s="212" t="n"/>
      <c r="F13" s="212" t="n"/>
      <c r="G13" s="212" t="n"/>
    </row>
    <row r="14" ht="15" customHeight="1" s="186">
      <c r="A14" s="185" t="inlineStr">
        <is>
          <t>GAP TARGETS</t>
        </is>
      </c>
      <c r="B14" s="185" t="inlineStr">
        <is>
          <t>G-08 (WooCommerce), G-09 (Google Maps Native), G-10 (Planned-vs-Actual), G-13 (Invoice start)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5A623"/>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customHeight="1" zeroHeight="0" outlineLevelRow="0"/>
  <cols>
    <col width="30" customWidth="1" style="185" min="1" max="1"/>
    <col width="35" customWidth="1" style="185" min="2" max="2"/>
    <col width="25" customWidth="1" style="185" min="3" max="3"/>
    <col width="50" customWidth="1" style="185" min="4" max="4"/>
  </cols>
  <sheetData>
    <row r="1" ht="21.75" customHeight="1" s="186">
      <c r="A1" s="213" t="inlineStr">
        <is>
          <t>WITYLOGIX PLATFORM — GAP ANALYSIS</t>
        </is>
      </c>
    </row>
    <row r="2" ht="15" customHeight="1" s="186">
      <c r="A2" s="188" t="inlineStr">
        <is>
          <t>Old Backend (lmd-oms-v3 + lmd-oms-nextjs-v3) → New Platform (witylogix-platform)</t>
        </is>
      </c>
    </row>
    <row r="4" ht="15" customHeight="1" s="186">
      <c r="A4" s="189" t="inlineStr">
        <is>
          <t>Last Updated: Sprint 3.0 (2026-03-08)</t>
        </is>
      </c>
      <c r="B4" s="189" t="inlineStr">
        <is>
          <t>Old System</t>
        </is>
      </c>
      <c r="C4" s="189" t="inlineStr">
        <is>
          <t>New Platform</t>
        </is>
      </c>
      <c r="D4" s="189" t="inlineStr">
        <is>
          <t>Gap</t>
        </is>
      </c>
    </row>
    <row r="5" ht="15" customHeight="1" s="186">
      <c r="A5" s="196" t="inlineStr">
        <is>
          <t>Total Files: 555 source files | 168,753 lines of code</t>
        </is>
      </c>
      <c r="B5" s="196" t="inlineStr">
        <is>
          <t>38+</t>
        </is>
      </c>
      <c r="C5" s="196" t="inlineStr">
        <is>
          <t>26 (Prisma)</t>
        </is>
      </c>
      <c r="D5" s="196" t="inlineStr">
        <is>
          <t>Consolidated into fewer, richer models</t>
        </is>
      </c>
    </row>
    <row r="6" ht="15" customHeight="1" s="186">
      <c r="A6" s="192" t="inlineStr">
        <is>
          <t>Sprints Completed: 1.1, 1.2, 2.0, 2.1, 2.2, 2.3, 2.4, 2.5</t>
        </is>
      </c>
      <c r="B6" s="192" t="inlineStr">
        <is>
          <t>68</t>
        </is>
      </c>
      <c r="C6" s="192" t="inlineStr">
        <is>
          <t>50</t>
        </is>
      </c>
      <c r="D6" s="192" t="inlineStr">
        <is>
          <t>Many features still need pages</t>
        </is>
      </c>
    </row>
    <row r="7" ht="15" customHeight="1" s="186">
      <c r="A7" s="196" t="inlineStr">
        <is>
          <t>API Routes</t>
        </is>
      </c>
      <c r="B7" s="196" t="inlineStr">
        <is>
          <t>85+ (Express)</t>
        </is>
      </c>
      <c r="C7" s="196" t="inlineStr">
        <is>
          <t>42 (Fastify)</t>
        </is>
      </c>
      <c r="D7" s="196" t="inlineStr">
        <is>
          <t>Many endpoints still needed</t>
        </is>
      </c>
    </row>
    <row r="8" ht="15" customHeight="1" s="186">
      <c r="A8" s="192" t="inlineStr">
        <is>
          <t>Services/Controllers</t>
        </is>
      </c>
      <c r="B8" s="192" t="inlineStr">
        <is>
          <t>140+ / 80+</t>
        </is>
      </c>
      <c r="C8" s="192" t="inlineStr">
        <is>
          <t>7+ queue consumers</t>
        </is>
      </c>
      <c r="D8" s="192" t="inlineStr">
        <is>
          <t>Core business logic to rebuild</t>
        </is>
      </c>
    </row>
    <row r="9" ht="15" customHeight="1" s="186">
      <c r="A9" s="196" t="inlineStr">
        <is>
          <t>Microservices (PM2)</t>
        </is>
      </c>
      <c r="B9" s="196" t="inlineStr">
        <is>
          <t>12</t>
        </is>
      </c>
      <c r="C9" s="196" t="inlineStr">
        <is>
          <t>1 monolith + workers</t>
        </is>
      </c>
      <c r="D9" s="196" t="inlineStr">
        <is>
          <t>Queue workers needed</t>
        </is>
      </c>
    </row>
    <row r="10" ht="15" customHeight="1" s="186">
      <c r="A10" s="192" t="inlineStr">
        <is>
          <t>Notification Channels</t>
        </is>
      </c>
      <c r="B10" s="192" t="inlineStr">
        <is>
          <t>Email, SMS, WhatsApp, Push, Slack</t>
        </is>
      </c>
      <c r="C10" s="192" t="inlineStr">
        <is>
          <t>Schema only</t>
        </is>
      </c>
      <c r="D10" s="192" t="inlineStr">
        <is>
          <t>All providers to integrate</t>
        </is>
      </c>
    </row>
    <row r="11" ht="15" customHeight="1" s="186">
      <c r="A11" s="196" t="inlineStr">
        <is>
          <t>Payment Systems</t>
        </is>
      </c>
      <c r="B11" s="196" t="inlineStr">
        <is>
          <t>COD, Custom Gateways, Shopify Txn</t>
        </is>
      </c>
      <c r="C11" s="196" t="inlineStr">
        <is>
          <t>COD + gateway abstractions</t>
        </is>
      </c>
      <c r="D11" s="196" t="inlineStr">
        <is>
          <t>Stripe/Razorpay implementation needed</t>
        </is>
      </c>
    </row>
    <row r="12" ht="15" customHeight="1" s="186">
      <c r="A12" s="192" t="inlineStr">
        <is>
          <t>Map Providers</t>
        </is>
      </c>
      <c r="B12" s="192" t="inlineStr">
        <is>
          <t>Google Maps + Mapbox</t>
        </is>
      </c>
      <c r="C12" s="192" t="inlineStr">
        <is>
          <t>Haversine + PostGIS spatial module</t>
        </is>
      </c>
      <c r="D12" s="192" t="inlineStr">
        <is>
          <t>PostGIS extension enable needed</t>
        </is>
      </c>
    </row>
    <row r="13" ht="15" customHeight="1" s="186">
      <c r="A13" s="196" t="inlineStr">
        <is>
          <t>Webhook Processors</t>
        </is>
      </c>
      <c r="B13" s="196" t="inlineStr">
        <is>
          <t>5 dedicated servers</t>
        </is>
      </c>
      <c r="C13" s="196" t="inlineStr">
        <is>
          <t>4 webhook consumers</t>
        </is>
      </c>
      <c r="D13" s="196" t="inlineStr">
        <is>
          <t>Additional webhook types needed</t>
        </is>
      </c>
    </row>
    <row r="14" ht="15" customHeight="1" s="186">
      <c r="A14" s="192" t="inlineStr">
        <is>
          <t>Real-time Tracking</t>
        </is>
      </c>
      <c r="B14" s="192" t="inlineStr">
        <is>
          <t>Firebase + WebSocket</t>
        </is>
      </c>
      <c r="C14" s="192" t="inlineStr">
        <is>
          <t>None</t>
        </is>
      </c>
      <c r="D14" s="192" t="inlineStr">
        <is>
          <t>Driver tracking to build</t>
        </is>
      </c>
    </row>
    <row r="15" ht="15" customHeight="1" s="186">
      <c r="A15" s="196" t="inlineStr">
        <is>
          <t>Campaign/Marketing</t>
        </is>
      </c>
      <c r="B15" s="196" t="inlineStr">
        <is>
          <t>Email templates, Broadcasts</t>
        </is>
      </c>
      <c r="C15" s="196" t="inlineStr">
        <is>
          <t>None</t>
        </is>
      </c>
      <c r="D15" s="196" t="inlineStr">
        <is>
          <t>Campaign module needed</t>
        </is>
      </c>
    </row>
    <row r="16" ht="15" customHeight="1" s="186">
      <c r="A16" s="192" t="inlineStr">
        <is>
          <t>Integrations</t>
        </is>
      </c>
      <c r="B16" s="192" t="inlineStr">
        <is>
          <t>38 marketplace providers</t>
        </is>
      </c>
      <c r="C16" s="192" t="inlineStr">
        <is>
          <t>Schema + registry</t>
        </is>
      </c>
      <c r="D16" s="192" t="inlineStr">
        <is>
          <t>Provider implementations needed</t>
        </is>
      </c>
    </row>
    <row r="17" ht="15" customHeight="1" s="186">
      <c r="A17" s="196" t="inlineStr">
        <is>
          <t>Components</t>
        </is>
      </c>
      <c r="B17" s="196" t="inlineStr">
        <is>
          <t>296+</t>
        </is>
      </c>
      <c r="C17" s="196" t="inlineStr">
        <is>
          <t>~12</t>
        </is>
      </c>
      <c r="D17" s="196" t="inlineStr">
        <is>
          <t>Component library to expand</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185" min="1" max="1"/>
    <col width="8" customWidth="1" style="185" min="2" max="2"/>
    <col width="22" customWidth="1" style="185" min="3" max="3"/>
    <col width="55" customWidth="1" style="185" min="4" max="4"/>
    <col width="8" customWidth="1" style="185" min="5" max="5"/>
    <col width="18" customWidth="1" style="185" min="6" max="6"/>
    <col width="12" customWidth="1" style="185" min="7" max="8"/>
    <col width="10" customWidth="1" style="185" min="9" max="9"/>
    <col width="30" customWidth="1" style="185" min="10" max="10"/>
  </cols>
  <sheetData>
    <row r="1" ht="26.25" customHeight="1" s="186">
      <c r="A1" s="214" t="inlineStr">
        <is>
          <t>ID</t>
        </is>
      </c>
      <c r="B1" s="214" t="inlineStr">
        <is>
          <t>Priority</t>
        </is>
      </c>
      <c r="C1" s="214" t="inlineStr">
        <is>
          <t>Gap Item</t>
        </is>
      </c>
      <c r="D1" s="214" t="inlineStr">
        <is>
          <t>Description</t>
        </is>
      </c>
      <c r="E1" s="214" t="inlineStr">
        <is>
          <t>Effort</t>
        </is>
      </c>
      <c r="F1" s="214" t="inlineStr">
        <is>
          <t>Competitive Leader</t>
        </is>
      </c>
      <c r="G1" s="214" t="inlineStr">
        <is>
          <t>Sprint Target</t>
        </is>
      </c>
      <c r="H1" s="214" t="inlineStr">
        <is>
          <t>Agent(s)</t>
        </is>
      </c>
      <c r="I1" s="214" t="inlineStr">
        <is>
          <t>Status</t>
        </is>
      </c>
      <c r="J1" s="214" t="inlineStr">
        <is>
          <t>Notes</t>
        </is>
      </c>
    </row>
    <row r="2" ht="90.75" customHeight="1" s="186">
      <c r="A2" s="215" t="inlineStr">
        <is>
          <t>G-01</t>
        </is>
      </c>
      <c r="B2" s="216" t="inlineStr">
        <is>
          <t>P0</t>
        </is>
      </c>
      <c r="C2" s="215" t="inlineStr">
        <is>
          <t>Customer Self-Service Portal</t>
        </is>
      </c>
      <c r="D2" s="215" t="inlineStr">
        <is>
          <t>Build a full customer portal app (Next.js): order history with delivery status timeline, live GPS tracking on map, rescheduling flow (select new date/slot), delivery preferences (safe place instructions, preferred times, access codes), driver rating system, notification preference management. Currently ABSENT in all 6 competitors except Route4Me — massive first-mover opportunity for open-source. Reference: Route4Me has basic portal with order tracking + rescheduling.</t>
        </is>
      </c>
      <c r="E2" s="215" t="inlineStr">
        <is>
          <t>L</t>
        </is>
      </c>
      <c r="F2" s="215" t="inlineStr">
        <is>
          <t>Route4Me (only one)</t>
        </is>
      </c>
      <c r="G2" s="215" t="inlineStr">
        <is>
          <t>4.5</t>
        </is>
      </c>
      <c r="H2" s="215" t="inlineStr">
        <is>
          <t>DM</t>
        </is>
      </c>
      <c r="I2" s="215" t="inlineStr">
        <is>
          <t>PLANNED</t>
        </is>
      </c>
      <c r="J2" s="215" t="inlineStr">
        <is>
          <t>New app: apps/customer-portal/. React + Next.js. Auth via existing session manager.</t>
        </is>
      </c>
    </row>
    <row r="3" ht="102" customHeight="1" s="186">
      <c r="A3" s="215" t="inlineStr">
        <is>
          <t>G-02</t>
        </is>
      </c>
      <c r="B3" s="216" t="inlineStr">
        <is>
          <t>P0</t>
        </is>
      </c>
      <c r="C3" s="215" t="inlineStr">
        <is>
          <t>Checkout Date/Time Picker Widget</t>
        </is>
      </c>
      <c r="D3" s="215" t="inlineStr">
        <is>
          <t>Build an embeddable checkout widget matching Pickeasy quality: date calendar with availability indicators, time slot grid showing remaining capacity per slot, zone-based delivery rate display, blackout date configuration, order cut-off/deadline engine (e.g. 'Friday pickup must be scheduled by Thursday 4pm'), zipcode/postcode validation with Google Maps, preparation time settings, product-specific delivery rules. Pickeasy has 8K+ merchants, 4.9 stars — this is the benchmark. ScrollEngine and Zapiet also strong here.</t>
        </is>
      </c>
      <c r="E3" s="215" t="inlineStr">
        <is>
          <t>M</t>
        </is>
      </c>
      <c r="F3" s="215" t="inlineStr">
        <is>
          <t>Pickeasy / ScrollEngine / Zapiet</t>
        </is>
      </c>
      <c r="G3" s="215" t="inlineStr">
        <is>
          <t>4.5</t>
        </is>
      </c>
      <c r="H3" s="215" t="inlineStr">
        <is>
          <t>NK, VS</t>
        </is>
      </c>
      <c r="I3" s="215" t="inlineStr">
        <is>
          <t>PLANNED</t>
        </is>
      </c>
      <c r="J3" s="215" t="inlineStr">
        <is>
          <t>Package: packages/checkout-widget/. Must be embeddable in Shopify, WooCommerce, standalone.</t>
        </is>
      </c>
    </row>
    <row r="4" ht="90.75" customHeight="1" s="186">
      <c r="A4" s="215" t="inlineStr">
        <is>
          <t>G-03</t>
        </is>
      </c>
      <c r="B4" s="216" t="inlineStr">
        <is>
          <t>P0</t>
        </is>
      </c>
      <c r="C4" s="215" t="inlineStr">
        <is>
          <t>POD Enhancement (Photo + Signature + QR + Timeline)</t>
        </is>
      </c>
      <c r="D4" s="215" t="inlineStr">
        <is>
          <t>Upgrade proof-of-delivery to match Fleetbase + Routific: multi-method capture (photo of delivery at doorstep, e-signature pad, QR code scan, barcode verification), delivery status timeline UI (Planned → Out for Delivery → Delivered with timestamp + photo attachment), S3/R2 cloud storage for POD media, offline-capable POD capture that syncs when back online. Routific shows excellent UX with status timeline + photo proof. Fleetbase has QR + signature + manual methods.</t>
        </is>
      </c>
      <c r="E4" s="215" t="inlineStr">
        <is>
          <t>M</t>
        </is>
      </c>
      <c r="F4" s="215" t="inlineStr">
        <is>
          <t>Fleetbase + Routific</t>
        </is>
      </c>
      <c r="G4" s="215" t="inlineStr">
        <is>
          <t>4.5</t>
        </is>
      </c>
      <c r="H4" s="215" t="inlineStr">
        <is>
          <t>PK</t>
        </is>
      </c>
      <c r="I4" s="215" t="inlineStr">
        <is>
          <t>PLANNED</t>
        </is>
      </c>
      <c r="J4" s="215" t="inlineStr">
        <is>
          <t>packages/core/src/pod/. Driver app integration. Status timeline component for tracking page.</t>
        </is>
      </c>
    </row>
    <row r="5" ht="90.75" customHeight="1" s="186">
      <c r="A5" s="215" t="inlineStr">
        <is>
          <t>G-04</t>
        </is>
      </c>
      <c r="B5" s="216" t="inlineStr">
        <is>
          <t>P0</t>
        </is>
      </c>
      <c r="C5" s="215" t="inlineStr">
        <is>
          <t>Route Timeline Dispatcher Dashboard</t>
        </is>
      </c>
      <c r="D5" s="215" t="inlineStr">
        <is>
          <t>Build Routific-quality dispatcher dashboard: interactive map showing color-coded routes per driver (10+ colors), timeline/Gantt view (8am-7pm) with stop dots per route, unscheduled vs scheduled orders toggle, real-time stats bar (active drivers, total stops, total km, estimated time), drag-and-drop route editing to reassign stops between drivers, 'Plan Routes' one-click optimization button. Reference: Routific screenshot shows 10 routes, 540 stops, 1200km, 65h 15m.</t>
        </is>
      </c>
      <c r="E5" s="215" t="inlineStr">
        <is>
          <t>L</t>
        </is>
      </c>
      <c r="F5" s="215" t="inlineStr">
        <is>
          <t>Routific</t>
        </is>
      </c>
      <c r="G5" s="215" t="inlineStr">
        <is>
          <t>4.5</t>
        </is>
      </c>
      <c r="H5" s="215" t="inlineStr">
        <is>
          <t>AR</t>
        </is>
      </c>
      <c r="I5" s="215" t="inlineStr">
        <is>
          <t>PLANNED</t>
        </is>
      </c>
      <c r="J5" s="215" t="inlineStr">
        <is>
          <t>apps/dashboard/src/app/(dashboard)/dispatch/. Uses Mapbox/Leaflet + D3 for timeline.</t>
        </is>
      </c>
    </row>
    <row r="6" ht="68.25" customHeight="1" s="186">
      <c r="A6" s="215" t="inlineStr">
        <is>
          <t>G-05</t>
        </is>
      </c>
      <c r="B6" s="216" t="inlineStr">
        <is>
          <t>P0</t>
        </is>
      </c>
      <c r="C6" s="215" t="inlineStr">
        <is>
          <t>Capacity Management &amp; Zone Pricing</t>
        </is>
      </c>
      <c r="D6" s="215" t="inlineStr">
        <is>
          <t>Implement Pickeasy/Zapiet-level slot capacity engine: daily order limits per slot, per-location capacity configuration, dynamic zone-based rate calculation (by zipcode, distance, weight, cart value, product type), multi-location support (20+ locations with separate configs), preparation time buffers between slots. Pickeasy and Zapiet both Strong here — essential for Shopify merchants.</t>
        </is>
      </c>
      <c r="E6" s="215" t="inlineStr">
        <is>
          <t>S</t>
        </is>
      </c>
      <c r="F6" s="215" t="inlineStr">
        <is>
          <t>Pickeasy / Zapiet</t>
        </is>
      </c>
      <c r="G6" s="215" t="inlineStr">
        <is>
          <t>4.5</t>
        </is>
      </c>
      <c r="H6" s="215" t="inlineStr">
        <is>
          <t>RG</t>
        </is>
      </c>
      <c r="I6" s="215" t="inlineStr">
        <is>
          <t>PLANNED</t>
        </is>
      </c>
      <c r="J6" s="215" t="inlineStr">
        <is>
          <t>packages/core/src/slots/. API endpoints: slot availability, rate calculator, capacity check.</t>
        </is>
      </c>
    </row>
    <row r="7" ht="79.5" customHeight="1" s="186">
      <c r="A7" s="215" t="inlineStr">
        <is>
          <t>G-06</t>
        </is>
      </c>
      <c r="B7" s="217" t="inlineStr">
        <is>
          <t>P1</t>
        </is>
      </c>
      <c r="C7" s="215" t="inlineStr">
        <is>
          <t>SMS/WhatsApp Customer Notifications</t>
        </is>
      </c>
      <c r="D7" s="215" t="inlineStr">
        <is>
          <t>Build multi-channel notification engine: SMS via Twilio (delivery scheduled confirmation, out-for-delivery alert with tracking link + time window, delivered confirmation), WhatsApp via Meta Business API (rich media messages with map preview), email templates (branded HTML), push notifications (web + mobile). Routific pattern: 'Your delivery is scheduled between 3:00pm-5:00pm. Track here: [link]'. ScrollEngine leads on WhatsApp integration.</t>
        </is>
      </c>
      <c r="E7" s="215" t="inlineStr">
        <is>
          <t>M</t>
        </is>
      </c>
      <c r="F7" s="215" t="inlineStr">
        <is>
          <t>Routific / ScrollEngine</t>
        </is>
      </c>
      <c r="G7" s="215" t="inlineStr">
        <is>
          <t>4.5</t>
        </is>
      </c>
      <c r="H7" s="215" t="inlineStr">
        <is>
          <t>SP</t>
        </is>
      </c>
      <c r="I7" s="215" t="inlineStr">
        <is>
          <t>PLANNED</t>
        </is>
      </c>
      <c r="J7" s="215" t="inlineStr">
        <is>
          <t>packages/core/src/notifications-v2/. Template engine with variables. Webhook delivery status.</t>
        </is>
      </c>
    </row>
    <row r="8" ht="68.25" customHeight="1" s="186">
      <c r="A8" s="215" t="inlineStr">
        <is>
          <t>G-07</t>
        </is>
      </c>
      <c r="B8" s="217" t="inlineStr">
        <is>
          <t>P1</t>
        </is>
      </c>
      <c r="C8" s="215" t="inlineStr">
        <is>
          <t>Delivery Status Timeline UI</t>
        </is>
      </c>
      <c r="D8" s="215" t="inlineStr">
        <is>
          <t>Visual delivery status timeline component: Planned (timestamp) → Out for Delivery (timestamp + driver name) → Delivered (timestamp + POD photo thumbnail). Used in customer portal, tracking page, and admin dashboard. Routific's implementation is the gold standard — clean vertical timeline with icons, timestamps, and photo attachment at final step.</t>
        </is>
      </c>
      <c r="E8" s="215" t="inlineStr">
        <is>
          <t>S</t>
        </is>
      </c>
      <c r="F8" s="215" t="inlineStr">
        <is>
          <t>Routific</t>
        </is>
      </c>
      <c r="G8" s="215" t="inlineStr">
        <is>
          <t>4.5</t>
        </is>
      </c>
      <c r="H8" s="215" t="inlineStr">
        <is>
          <t>VS, PK</t>
        </is>
      </c>
      <c r="I8" s="215" t="inlineStr">
        <is>
          <t>PLANNED</t>
        </is>
      </c>
      <c r="J8" s="215" t="inlineStr">
        <is>
          <t>Shared component in packages/checkout-widget/. Reused across portal, tracking page, dashboard.</t>
        </is>
      </c>
    </row>
    <row r="9" ht="79.5" customHeight="1" s="186">
      <c r="A9" s="215" t="inlineStr">
        <is>
          <t>G-08</t>
        </is>
      </c>
      <c r="B9" s="217" t="inlineStr">
        <is>
          <t>P1</t>
        </is>
      </c>
      <c r="C9" s="215" t="inlineStr">
        <is>
          <t>WooCommerce Deep Integration</t>
        </is>
      </c>
      <c r="D9" s="215" t="inlineStr">
        <is>
          <t>Build WooCommerce REST API adapter: order sync (bidirectional), checkout widget embedding via WooCommerce blocks, shipping method integration, webhook handlers for order status changes, product sync for delivery rules. Route4Me has WooCommerce support — we need deeper integration to serve non-Shopify merchants. Currently our WooCommerce support is only 'Adequate'.</t>
        </is>
      </c>
      <c r="E9" s="215" t="inlineStr">
        <is>
          <t>M</t>
        </is>
      </c>
      <c r="F9" s="215" t="inlineStr">
        <is>
          <t>Route4Me</t>
        </is>
      </c>
      <c r="G9" s="215" t="inlineStr">
        <is>
          <t>4.6</t>
        </is>
      </c>
      <c r="H9" s="215" t="inlineStr">
        <is>
          <t>AM</t>
        </is>
      </c>
      <c r="I9" s="215" t="inlineStr">
        <is>
          <t>PLANNED</t>
        </is>
      </c>
      <c r="J9" s="215" t="inlineStr">
        <is>
          <t>packages/core/src/integrations/woocommerce/. REST API v3 adapter. Block-based widget.</t>
        </is>
      </c>
    </row>
    <row r="10" ht="68.25" customHeight="1" s="186">
      <c r="A10" s="215" t="inlineStr">
        <is>
          <t>G-09</t>
        </is>
      </c>
      <c r="B10" s="217" t="inlineStr">
        <is>
          <t>P1</t>
        </is>
      </c>
      <c r="C10" s="215" t="inlineStr">
        <is>
          <t>Google Maps &amp; Calendar Integration</t>
        </is>
      </c>
      <c r="D10" s="215" t="inlineStr">
        <is>
          <t>Native Google Maps integration for zone visualization (draw delivery zones on map, calculate distances), address autocomplete in checkout widget, driver route display on map. Google Calendar sync for merchant order reminders (auto-create calendar events for pickup orders). Pickeasy has both — merchants love the Calendar reminder feature.</t>
        </is>
      </c>
      <c r="E10" s="215" t="inlineStr">
        <is>
          <t>S</t>
        </is>
      </c>
      <c r="F10" s="215" t="inlineStr">
        <is>
          <t>Pickeasy</t>
        </is>
      </c>
      <c r="G10" s="215" t="inlineStr">
        <is>
          <t>4.6</t>
        </is>
      </c>
      <c r="H10" s="215" t="inlineStr">
        <is>
          <t>AM, NK</t>
        </is>
      </c>
      <c r="I10" s="215" t="inlineStr">
        <is>
          <t>PLANNED</t>
        </is>
      </c>
      <c r="J10" s="215" t="inlineStr">
        <is>
          <t>packages/core/src/integrations/google/. Maps JS API + Calendar API.</t>
        </is>
      </c>
    </row>
    <row r="11" ht="68.25" customHeight="1" s="186">
      <c r="A11" s="215" t="inlineStr">
        <is>
          <t>G-10</t>
        </is>
      </c>
      <c r="B11" s="217" t="inlineStr">
        <is>
          <t>P1</t>
        </is>
      </c>
      <c r="C11" s="215" t="inlineStr">
        <is>
          <t>Planned-vs-Actual Reporting</t>
        </is>
      </c>
      <c r="D11" s="215" t="inlineStr">
        <is>
          <t>Route analytics dashboard: planned route vs actual GPS path overlay on map, on-time delivery percentage, average delivery time per zone, driver performance scorecard, CO2 emissions tracking per route (distance × vehicle type factor), weekly/monthly trend charts. Route4Me and Routific both have this — essential for fleet operations customers.</t>
        </is>
      </c>
      <c r="E11" s="215" t="inlineStr">
        <is>
          <t>M</t>
        </is>
      </c>
      <c r="F11" s="215" t="inlineStr">
        <is>
          <t>Route4Me / Routific</t>
        </is>
      </c>
      <c r="G11" s="215" t="inlineStr">
        <is>
          <t>4.6</t>
        </is>
      </c>
      <c r="H11" s="215" t="inlineStr">
        <is>
          <t>AR, ZR</t>
        </is>
      </c>
      <c r="I11" s="215" t="inlineStr">
        <is>
          <t>PLANNED</t>
        </is>
      </c>
      <c r="J11" s="215" t="inlineStr">
        <is>
          <t>apps/dashboard/src/app/(dashboard)/analytics/routes/. Chart.js + Mapbox.</t>
        </is>
      </c>
    </row>
    <row r="12" ht="68.25" customHeight="1" s="186">
      <c r="A12" s="215" t="inlineStr">
        <is>
          <t>G-11</t>
        </is>
      </c>
      <c r="B12" s="218" t="inlineStr">
        <is>
          <t>P2</t>
        </is>
      </c>
      <c r="C12" s="215" t="inlineStr">
        <is>
          <t>Telematics Gateway (Samsara + Geotab)</t>
        </is>
      </c>
      <c r="D12" s="215" t="inlineStr">
        <is>
          <t>Build a telematics adapter layer supporting major providers: Samsara (real-time vehicle location, fuel level, engine diagnostics), Geotab (MyGeotab API for speed, idling, harsh braking), with plugin architecture for Verizon Connect, Motive, Azuga, Fleet Complete, NexTraq. Route4Me integrates all of these — it's the enterprise fleet differentiator.</t>
        </is>
      </c>
      <c r="E12" s="215" t="inlineStr">
        <is>
          <t>L</t>
        </is>
      </c>
      <c r="F12" s="215" t="inlineStr">
        <is>
          <t>Route4Me</t>
        </is>
      </c>
      <c r="G12" s="215" t="inlineStr">
        <is>
          <t>4.7</t>
        </is>
      </c>
      <c r="H12" s="215" t="inlineStr">
        <is>
          <t>AM, PK</t>
        </is>
      </c>
      <c r="I12" s="215" t="inlineStr">
        <is>
          <t>PLANNED</t>
        </is>
      </c>
      <c r="J12" s="215" t="inlineStr">
        <is>
          <t>packages/core/src/telematics/. Adapter pattern. Start with Samsara + Geotab SDKs.</t>
        </is>
      </c>
    </row>
    <row r="13" ht="68.25" customHeight="1" s="186">
      <c r="A13" s="215" t="inlineStr">
        <is>
          <t>G-12</t>
        </is>
      </c>
      <c r="B13" s="218" t="inlineStr">
        <is>
          <t>P2</t>
        </is>
      </c>
      <c r="C13" s="215" t="inlineStr">
        <is>
          <t>ML-Powered ETA Engine (Traffic-Aware)</t>
        </is>
      </c>
      <c r="D13" s="215" t="inlineStr">
        <is>
          <t>Build traffic-aware ETA prediction: start with 3-5 ML models (time-of-day, day-of-week, historical delivery times, distance, traffic zone), integrate traffic data from Google Maps Directions API or TomTom, fallback to statistical model when ML unavailable. Long-term target: match Routific's 179 ML models. This directly improves customer experience and driver efficiency.</t>
        </is>
      </c>
      <c r="E13" s="215" t="inlineStr">
        <is>
          <t>L</t>
        </is>
      </c>
      <c r="F13" s="215" t="inlineStr">
        <is>
          <t>Routific (179 models)</t>
        </is>
      </c>
      <c r="G13" s="215" t="inlineStr">
        <is>
          <t>4.7</t>
        </is>
      </c>
      <c r="H13" s="215" t="inlineStr">
        <is>
          <t>ZR</t>
        </is>
      </c>
      <c r="I13" s="215" t="inlineStr">
        <is>
          <t>PLANNED</t>
        </is>
      </c>
      <c r="J13" s="215" t="inlineStr">
        <is>
          <t>packages/core/src/ai-eta/. TensorFlow.js or ONNX runtime. Model versioning.</t>
        </is>
      </c>
    </row>
    <row r="14" ht="68.25" customHeight="1" s="186">
      <c r="A14" s="215" t="inlineStr">
        <is>
          <t>G-13</t>
        </is>
      </c>
      <c r="B14" s="218" t="inlineStr">
        <is>
          <t>P2</t>
        </is>
      </c>
      <c r="C14" s="215" t="inlineStr">
        <is>
          <t>Automated Invoicing Engine</t>
        </is>
      </c>
      <c r="D14" s="215" t="inlineStr">
        <is>
          <t>Build automated invoicing: generate invoices per delivery/route/customer with configurable billing rules (per-delivery, per-mile, per-hour, subscription), PDF invoice generation with company branding, email delivery, payment status tracking, QuickBooks/Xero integration adapter. Only Route4Me has this — enterprise fleet customers need automated billing.</t>
        </is>
      </c>
      <c r="E14" s="215" t="inlineStr">
        <is>
          <t>M</t>
        </is>
      </c>
      <c r="F14" s="215" t="inlineStr">
        <is>
          <t>Route4Me</t>
        </is>
      </c>
      <c r="G14" s="215" t="inlineStr">
        <is>
          <t>4.9</t>
        </is>
      </c>
      <c r="H14" s="215" t="inlineStr">
        <is>
          <t>RG, SP</t>
        </is>
      </c>
      <c r="I14" s="215" t="inlineStr">
        <is>
          <t>PLANNED</t>
        </is>
      </c>
      <c r="J14" s="215" t="inlineStr">
        <is>
          <t>packages/core/src/invoicing/. PDF generation. QuickBooks API adapter.</t>
        </is>
      </c>
    </row>
    <row r="15" ht="68.25" customHeight="1" s="186">
      <c r="A15" s="215" t="inlineStr">
        <is>
          <t>G-14</t>
        </is>
      </c>
      <c r="B15" s="218" t="inlineStr">
        <is>
          <t>P2</t>
        </is>
      </c>
      <c r="C15" s="215" t="inlineStr">
        <is>
          <t>Partner Directory &amp; Courier Ecosystem</t>
        </is>
      </c>
      <c r="D15" s="215" t="inlineStr">
        <is>
          <t>Build courier partner integration hub: adapters for Onfleet, Stuart, Uber Direct, Trexity, UniHop, Roadie (Zapiet's partner network), partner directory page in dashboard, API-based courier dispatch (auto-select cheapest/fastest courier), partner onboarding flow. Zapiet's partner ecosystem is a key competitive advantage — we need to match it.</t>
        </is>
      </c>
      <c r="E15" s="215" t="inlineStr">
        <is>
          <t>M</t>
        </is>
      </c>
      <c r="F15" s="215" t="inlineStr">
        <is>
          <t>Zapiet</t>
        </is>
      </c>
      <c r="G15" s="215" t="inlineStr">
        <is>
          <t>4.8</t>
        </is>
      </c>
      <c r="H15" s="215" t="inlineStr">
        <is>
          <t>AM, SP</t>
        </is>
      </c>
      <c r="I15" s="215" t="inlineStr">
        <is>
          <t>PLANNED</t>
        </is>
      </c>
      <c r="J15" s="215" t="inlineStr">
        <is>
          <t>packages/core/src/couriers/. Adapter per courier. Partner directory UI.</t>
        </is>
      </c>
    </row>
    <row r="16" ht="68.25" customHeight="1" s="186">
      <c r="A16" s="215" t="inlineStr">
        <is>
          <t>G-15</t>
        </is>
      </c>
      <c r="B16" s="219" t="inlineStr">
        <is>
          <t>P3</t>
        </is>
      </c>
      <c r="C16" s="215" t="inlineStr">
        <is>
          <t>AI Demand Prediction &amp; Smart Scheduling</t>
        </is>
      </c>
      <c r="D16" s="215" t="inlineStr">
        <is>
          <t>Build AI-powered demand prediction: forecast delivery volume by zone/day/hour using historical patterns, suggest optimal slot allocation, auto-adjust capacity limits based on predicted demand, driver availability forecasting. Nobody has this across all 6 competitors — it's a genuine first-mover opportunity that strengthens our AI positioning.</t>
        </is>
      </c>
      <c r="E16" s="215" t="inlineStr">
        <is>
          <t>L</t>
        </is>
      </c>
      <c r="F16" s="215" t="inlineStr">
        <is>
          <t>Nobody (first-mover)</t>
        </is>
      </c>
      <c r="G16" s="215" t="inlineStr">
        <is>
          <t>5.0+</t>
        </is>
      </c>
      <c r="H16" s="215" t="inlineStr">
        <is>
          <t>ZR</t>
        </is>
      </c>
      <c r="I16" s="215" t="inlineStr">
        <is>
          <t>PLANNED</t>
        </is>
      </c>
      <c r="J16" s="215" t="inlineStr">
        <is>
          <t>packages/core/src/ai-demand/. Time-series forecasting. Integration with slot engine.</t>
        </is>
      </c>
    </row>
    <row r="18" ht="15" customHeight="1" s="186">
      <c r="A18" s="220" t="inlineStr">
        <is>
          <t>SUMMARY</t>
        </is>
      </c>
      <c r="B18" s="221" t="inlineStr">
        <is>
          <t>15 competitive gaps: 5× P0 (Sprint 4.5), 5× P1 (Sprint 4.5-4.6), 4× P2 (Sprint 4.7-4.9), 1× P3 (Sprint 5.0+). Benchmarked against: Fleetbase, ScrollEngine, Zapiet, Route4Me, Routific, Pickeasy.</t>
        </is>
      </c>
    </row>
  </sheetData>
  <mergeCells count="1">
    <mergeCell ref="B18:J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87171"/>
    <outlinePr summaryBelow="1" summaryRight="1"/>
    <pageSetUpPr fitToPage="0"/>
  </sheetPr>
  <dimension ref="A1:K4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6796875" defaultRowHeight="15" customHeight="1" zeroHeight="0" outlineLevelRow="0"/>
  <cols>
    <col width="28" customWidth="1" style="185" min="1" max="1"/>
    <col width="22" customWidth="1" style="185" min="2" max="2"/>
    <col width="20" customWidth="1" style="185" min="3" max="3"/>
    <col width="12" customWidth="1" style="185" min="4" max="4"/>
    <col width="60" customWidth="1" style="185" min="5" max="5"/>
    <col width="8" customWidth="1" style="185" min="6" max="6"/>
    <col width="45" customWidth="1" style="185" min="7" max="7"/>
    <col width="7" customWidth="1" style="185" min="8" max="8"/>
    <col width="18" customWidth="1" style="185" min="9" max="9"/>
    <col width="16" customWidth="1" style="185" min="10" max="11"/>
  </cols>
  <sheetData>
    <row r="1" ht="26.25" customHeight="1" s="186">
      <c r="A1" s="189" t="inlineStr">
        <is>
          <t>Old Model (MongoDB)</t>
        </is>
      </c>
      <c r="B1" s="189" t="inlineStr">
        <is>
          <t>Collection</t>
        </is>
      </c>
      <c r="C1" s="189" t="inlineStr">
        <is>
          <t>New Model (Prisma)</t>
        </is>
      </c>
      <c r="D1" s="189" t="inlineStr">
        <is>
          <t>Status</t>
        </is>
      </c>
      <c r="E1" s="189" t="inlineStr">
        <is>
          <t>Key Fields Missing in New</t>
        </is>
      </c>
      <c r="F1" s="189" t="inlineStr">
        <is>
          <t>Priority</t>
        </is>
      </c>
      <c r="G1" s="189" t="inlineStr">
        <is>
          <t>Notes</t>
        </is>
      </c>
      <c r="H1" s="189" t="inlineStr">
        <is>
          <t>Done</t>
        </is>
      </c>
      <c r="I1" s="189" t="inlineStr">
        <is>
          <t>Assignee</t>
        </is>
      </c>
      <c r="J1" s="189" t="inlineStr">
        <is>
          <t>Squad</t>
        </is>
      </c>
      <c r="K1" s="189" t="inlineStr">
        <is>
          <t>Work Status</t>
        </is>
      </c>
    </row>
    <row r="2" ht="34.5" customHeight="1" s="186">
      <c r="A2" s="222" t="inlineStr">
        <is>
          <t>shopifyOrder</t>
        </is>
      </c>
      <c r="B2" s="222" t="inlineStr">
        <is>
          <t>shopify_orders</t>
        </is>
      </c>
      <c r="C2" s="222" t="inlineStr">
        <is>
          <t>Order</t>
        </is>
      </c>
      <c r="D2" s="223" t="inlineStr">
        <is>
          <t>EXISTS</t>
        </is>
      </c>
      <c r="E2" s="222" t="inlineStr">
        <is>
          <t>lineItems detail, billingAddress, shippingAddress, financialStatus, fulfillmentStatus, tags (rich), cancelledAt, refunds, discountCodes, taxLines, shippingLines, noteAttributes, orderRisk, orderSource</t>
        </is>
      </c>
      <c r="F2" s="224" t="inlineStr">
        <is>
          <t>P0</t>
        </is>
      </c>
      <c r="G2" s="222" t="inlineStr">
        <is>
          <t>Core model - needs many Shopify-specific fields</t>
        </is>
      </c>
      <c r="H2" s="225" t="inlineStr">
        <is>
          <t>☑</t>
        </is>
      </c>
      <c r="I2" s="226" t="inlineStr">
        <is>
          <t>PK - Priya</t>
        </is>
      </c>
      <c r="J2" s="227" t="inlineStr">
        <is>
          <t>Core Backend</t>
        </is>
      </c>
      <c r="K2" s="228" t="inlineStr">
        <is>
          <t>DONE</t>
        </is>
      </c>
    </row>
    <row r="3" ht="45.75" customHeight="1" s="186">
      <c r="A3" s="222" t="inlineStr">
        <is>
          <t>shipment</t>
        </is>
      </c>
      <c r="B3" s="222" t="inlineStr">
        <is>
          <t>shipments</t>
        </is>
      </c>
      <c r="C3" s="222" t="inlineStr">
        <is>
          <t>Shipment</t>
        </is>
      </c>
      <c r="D3" s="224" t="inlineStr">
        <is>
          <t>EXISTS</t>
        </is>
      </c>
      <c r="E3" s="222" t="inlineStr">
        <is>
          <t>Entire model: tracking_number, carrier, shipping_method, status lifecycle, label_url, customs_info, insurance, return_tracking, package_dimensions, weight, estimated_delivery_date, actual_delivery_date, shipping_cost, recipient_details, documents[], activity_log[]</t>
        </is>
      </c>
      <c r="F3" s="224" t="inlineStr">
        <is>
          <t>P0</t>
        </is>
      </c>
      <c r="G3" s="222" t="inlineStr">
        <is>
          <t>Critical gap - old system had full shipment lifecycle separate from orders</t>
        </is>
      </c>
      <c r="H3" s="225" t="inlineStr">
        <is>
          <t>☑</t>
        </is>
      </c>
      <c r="I3" s="226" t="inlineStr">
        <is>
          <t>PK - Priya</t>
        </is>
      </c>
      <c r="J3" s="227" t="inlineStr">
        <is>
          <t>Core Backend</t>
        </is>
      </c>
      <c r="K3" s="229" t="inlineStr">
        <is>
          <t>DONE</t>
        </is>
      </c>
    </row>
    <row r="4" ht="23.25" customHeight="1" s="186">
      <c r="A4" s="192" t="inlineStr">
        <is>
          <t>shipmentItem</t>
        </is>
      </c>
      <c r="B4" s="192" t="inlineStr">
        <is>
          <t>shipment_items</t>
        </is>
      </c>
      <c r="C4" s="192" t="inlineStr">
        <is>
          <t>ShipmentProof</t>
        </is>
      </c>
      <c r="D4" s="230" t="inlineStr">
        <is>
          <t>EXISTS</t>
        </is>
      </c>
      <c r="E4" s="192" t="inlineStr">
        <is>
          <t>Entire model: shipment_ref, product_id, variant_id, quantity, weight, dimensions, customs_value, hs_code, origin_country</t>
        </is>
      </c>
      <c r="F4" s="231" t="inlineStr">
        <is>
          <t>P0</t>
        </is>
      </c>
      <c r="G4" s="192" t="inlineStr">
        <is>
          <t>Sprint 2.7 - 36-shipment-items.prisma</t>
        </is>
      </c>
      <c r="H4" s="232" t="inlineStr">
        <is>
          <t>☑</t>
        </is>
      </c>
      <c r="I4" s="233" t="inlineStr">
        <is>
          <t>PK - Priya</t>
        </is>
      </c>
      <c r="J4" s="193" t="inlineStr">
        <is>
          <t>Core Backend</t>
        </is>
      </c>
      <c r="K4" s="234" t="inlineStr">
        <is>
          <t>IN PROGRESS</t>
        </is>
      </c>
    </row>
    <row r="5" ht="23.25" customHeight="1" s="186">
      <c r="A5" s="222" t="inlineStr">
        <is>
          <t>user</t>
        </is>
      </c>
      <c r="B5" s="222" t="inlineStr">
        <is>
          <t>users</t>
        </is>
      </c>
      <c r="C5" s="222" t="inlineStr">
        <is>
          <t>User</t>
        </is>
      </c>
      <c r="D5" s="223" t="inlineStr">
        <is>
          <t>EXISTS</t>
        </is>
      </c>
      <c r="E5" s="222" t="inlineStr">
        <is>
          <t>phone, avatar, permissions[], timezone, language, lastActiveAt, inviteToken, inviteExpiry, twoFactorEnabled, notificationPreferences</t>
        </is>
      </c>
      <c r="F5" s="223" t="inlineStr">
        <is>
          <t>P1</t>
        </is>
      </c>
      <c r="G5" s="222" t="inlineStr">
        <is>
          <t>Old had richer user profiles</t>
        </is>
      </c>
      <c r="H5" s="225" t="inlineStr">
        <is>
          <t>☑</t>
        </is>
      </c>
      <c r="I5" s="235" t="inlineStr">
        <is>
          <t>AR - Arjun</t>
        </is>
      </c>
      <c r="J5" s="227" t="inlineStr">
        <is>
          <t>Architecture</t>
        </is>
      </c>
      <c r="K5" s="229" t="inlineStr">
        <is>
          <t>DONE</t>
        </is>
      </c>
    </row>
    <row r="6" ht="23.25" customHeight="1" s="186">
      <c r="A6" s="222" t="inlineStr">
        <is>
          <t>userRole</t>
        </is>
      </c>
      <c r="B6" s="222" t="inlineStr">
        <is>
          <t>user_roles</t>
        </is>
      </c>
      <c r="C6" s="222" t="inlineStr">
        <is>
          <t>User.role (enum)</t>
        </is>
      </c>
      <c r="D6" s="223" t="inlineStr">
        <is>
          <t>EXISTS</t>
        </is>
      </c>
      <c r="E6" s="222" t="inlineStr">
        <is>
          <t>Full RBAC model with permissions array, resource-level access, customizable roles</t>
        </is>
      </c>
      <c r="F6" s="223" t="inlineStr">
        <is>
          <t>P1</t>
        </is>
      </c>
      <c r="G6" s="222" t="inlineStr">
        <is>
          <t>Old had dynamic roles; new uses fixed enum</t>
        </is>
      </c>
      <c r="H6" s="225" t="inlineStr">
        <is>
          <t>☑</t>
        </is>
      </c>
      <c r="I6" s="235" t="inlineStr">
        <is>
          <t>AR - Arjun</t>
        </is>
      </c>
      <c r="J6" s="227" t="inlineStr">
        <is>
          <t>Architecture</t>
        </is>
      </c>
      <c r="K6" s="229" t="inlineStr">
        <is>
          <t>DONE</t>
        </is>
      </c>
    </row>
    <row r="7" ht="15" customHeight="1" s="186">
      <c r="A7" s="196" t="inlineStr">
        <is>
          <t>userPermission</t>
        </is>
      </c>
      <c r="B7" s="196" t="inlineStr">
        <is>
          <t>user_permissions</t>
        </is>
      </c>
      <c r="C7" s="196" t="inlineStr">
        <is>
          <t>—</t>
        </is>
      </c>
      <c r="D7" s="230" t="inlineStr">
        <is>
          <t>MISSING</t>
        </is>
      </c>
      <c r="E7" s="196" t="inlineStr">
        <is>
          <t>Entire model: role_ref, resource, action, allow/deny, conditions</t>
        </is>
      </c>
      <c r="F7" s="236" t="inlineStr">
        <is>
          <t>P1</t>
        </is>
      </c>
      <c r="G7" s="196" t="inlineStr">
        <is>
          <t>Granular permission system missing</t>
        </is>
      </c>
      <c r="H7" s="232" t="inlineStr">
        <is>
          <t>☑</t>
        </is>
      </c>
      <c r="I7" s="237" t="inlineStr">
        <is>
          <t>AR - Arjun</t>
        </is>
      </c>
      <c r="J7" s="197" t="inlineStr">
        <is>
          <t>Architecture</t>
        </is>
      </c>
      <c r="K7" s="238" t="inlineStr">
        <is>
          <t>DONE</t>
        </is>
      </c>
    </row>
    <row r="8" ht="34.5" customHeight="1" s="186">
      <c r="A8" s="222" t="inlineStr">
        <is>
          <t>storeDetail</t>
        </is>
      </c>
      <c r="B8" s="222" t="inlineStr">
        <is>
          <t>store_details</t>
        </is>
      </c>
      <c r="C8" s="222" t="inlineStr">
        <is>
          <t>Shop</t>
        </is>
      </c>
      <c r="D8" s="223" t="inlineStr">
        <is>
          <t>EXISTS</t>
        </is>
      </c>
      <c r="E8" s="222" t="inlineStr">
        <is>
          <t>address, country, province, logo, favicon, social_links, business_hours, description, industry, defaultLanguage, supportEmail, returnPolicy, trackingPageConfig, widgetConfig, analyticsConfig</t>
        </is>
      </c>
      <c r="F8" s="223" t="inlineStr">
        <is>
          <t>P1</t>
        </is>
      </c>
      <c r="G8" s="222" t="inlineStr">
        <is>
          <t>Shop model is minimal vs old storeDetail</t>
        </is>
      </c>
      <c r="H8" s="225" t="inlineStr">
        <is>
          <t>☑</t>
        </is>
      </c>
      <c r="I8" s="235" t="inlineStr">
        <is>
          <t>AR - Arjun</t>
        </is>
      </c>
      <c r="J8" s="227" t="inlineStr">
        <is>
          <t>Architecture</t>
        </is>
      </c>
      <c r="K8" s="229" t="inlineStr">
        <is>
          <t>DONE</t>
        </is>
      </c>
    </row>
    <row r="9" ht="34.5" customHeight="1" s="186">
      <c r="A9" s="222" t="inlineStr">
        <is>
          <t>storeSettings</t>
        </is>
      </c>
      <c r="B9" s="222" t="inlineStr">
        <is>
          <t>store_settings</t>
        </is>
      </c>
      <c r="C9" s="222" t="inlineStr">
        <is>
          <t>Shop.settings (JSON)</t>
        </is>
      </c>
      <c r="D9" s="223" t="inlineStr">
        <is>
          <t>EXISTS</t>
        </is>
      </c>
      <c r="E9" s="222" t="inlineStr">
        <is>
          <t>Structured settings: autoAssign, proofOfDelivery, signatureRequired, realTimeTracking, driverAppConfig, customerNotificationDefaults, inventorySync, fulfillmentRules</t>
        </is>
      </c>
      <c r="F9" s="223" t="inlineStr">
        <is>
          <t>P1</t>
        </is>
      </c>
      <c r="G9" s="222" t="inlineStr">
        <is>
          <t>Old had explicit fields; new uses opaque JSON</t>
        </is>
      </c>
      <c r="H9" s="225" t="inlineStr">
        <is>
          <t>☑</t>
        </is>
      </c>
      <c r="I9" s="235" t="inlineStr">
        <is>
          <t>AR - Arjun</t>
        </is>
      </c>
      <c r="J9" s="227" t="inlineStr">
        <is>
          <t>Architecture</t>
        </is>
      </c>
      <c r="K9" s="229" t="inlineStr">
        <is>
          <t>DONE</t>
        </is>
      </c>
    </row>
    <row r="10" ht="23.25" customHeight="1" s="186">
      <c r="A10" s="222" t="inlineStr">
        <is>
          <t>storeApiSettings</t>
        </is>
      </c>
      <c r="B10" s="222" t="inlineStr">
        <is>
          <t>store_api_settings</t>
        </is>
      </c>
      <c r="C10" s="222" t="inlineStr">
        <is>
          <t>Integration</t>
        </is>
      </c>
      <c r="D10" s="223" t="inlineStr">
        <is>
          <t>EXISTS</t>
        </is>
      </c>
      <c r="E10" s="222" t="inlineStr">
        <is>
          <t>Old had dedicated model for API keys per provider (Google, Mapbox, Twilio, SendGrid, etc.)</t>
        </is>
      </c>
      <c r="F10" s="239" t="inlineStr">
        <is>
          <t>P2</t>
        </is>
      </c>
      <c r="G10" s="222" t="inlineStr">
        <is>
          <t>Subsumed by Integration model but less explicit</t>
        </is>
      </c>
      <c r="H10" s="225" t="inlineStr">
        <is>
          <t>☑</t>
        </is>
      </c>
      <c r="I10" s="240" t="inlineStr">
        <is>
          <t>SP - Sanya</t>
        </is>
      </c>
      <c r="J10" s="227" t="inlineStr">
        <is>
          <t>Integrations</t>
        </is>
      </c>
      <c r="K10" s="229" t="inlineStr">
        <is>
          <t>DONE</t>
        </is>
      </c>
    </row>
    <row r="11" ht="15" customHeight="1" s="186">
      <c r="A11" s="196" t="inlineStr">
        <is>
          <t>storeInfo</t>
        </is>
      </c>
      <c r="B11" s="196" t="inlineStr">
        <is>
          <t>store_infos</t>
        </is>
      </c>
      <c r="C11" s="196" t="inlineStr">
        <is>
          <t>Shop</t>
        </is>
      </c>
      <c r="D11" s="241" t="inlineStr">
        <is>
          <t>EXISTS</t>
        </is>
      </c>
      <c r="E11" s="196" t="inlineStr">
        <is>
          <t>Merged into Shop model</t>
        </is>
      </c>
      <c r="F11" s="196" t="inlineStr">
        <is>
          <t>—</t>
        </is>
      </c>
      <c r="G11" s="196" t="inlineStr">
        <is>
          <t>Consolidated correctly</t>
        </is>
      </c>
      <c r="H11" s="242" t="inlineStr">
        <is>
          <t>☑</t>
        </is>
      </c>
      <c r="I11" s="243" t="inlineStr">
        <is>
          <t>—</t>
        </is>
      </c>
      <c r="J11" s="197" t="inlineStr">
        <is>
          <t>—</t>
        </is>
      </c>
      <c r="K11" s="244" t="inlineStr">
        <is>
          <t>DONE</t>
        </is>
      </c>
    </row>
    <row r="12" ht="34.5" customHeight="1" s="186">
      <c r="A12" s="192" t="inlineStr">
        <is>
          <t>calenderRule / calenderProfile</t>
        </is>
      </c>
      <c r="B12" s="192" t="inlineStr">
        <is>
          <t>calender_rules / calender_profiles</t>
        </is>
      </c>
      <c r="C12" s="192" t="inlineStr">
        <is>
          <t>—</t>
        </is>
      </c>
      <c r="D12" s="230" t="inlineStr">
        <is>
          <t>MISSING</t>
        </is>
      </c>
      <c r="E12" s="192" t="inlineStr">
        <is>
          <t>Entire models: blackout_dates[], operating_hours{}, preparation_time, cutoff_rules, holiday_calendars, recurring_rules, capacity_by_day, special_event_overrides</t>
        </is>
      </c>
      <c r="F12" s="231" t="inlineStr">
        <is>
          <t>P0</t>
        </is>
      </c>
      <c r="G12" s="192" t="inlineStr">
        <is>
          <t>Sprint 2.5: calendar-engine.ts in shipping-profiles module</t>
        </is>
      </c>
      <c r="H12" s="232" t="inlineStr">
        <is>
          <t>☑</t>
        </is>
      </c>
      <c r="I12" s="245" t="inlineStr">
        <is>
          <t>VS - Vikram</t>
        </is>
      </c>
      <c r="J12" s="193" t="inlineStr">
        <is>
          <t>Core Backend</t>
        </is>
      </c>
      <c r="K12" s="246" t="inlineStr">
        <is>
          <t>DONE</t>
        </is>
      </c>
    </row>
    <row r="13" ht="34.5" customHeight="1" s="186">
      <c r="A13" s="196" t="inlineStr">
        <is>
          <t>deliveryRule / pickupRule / shippingRule</t>
        </is>
      </c>
      <c r="B13" s="196" t="inlineStr">
        <is>
          <t>Various</t>
        </is>
      </c>
      <c r="C13" s="196" t="inlineStr">
        <is>
          <t>—</t>
        </is>
      </c>
      <c r="D13" s="230" t="inlineStr">
        <is>
          <t>EXISTS</t>
        </is>
      </c>
      <c r="E13" s="196" t="inlineStr">
        <is>
          <t>Entire rule engines: distance-based, weight-based, zone-based, product-category, minimum-order, time-window, same-day/next-day rules, rate tables, conditional logic</t>
        </is>
      </c>
      <c r="F13" s="247" t="inlineStr">
        <is>
          <t>P0</t>
        </is>
      </c>
      <c r="G13" s="196" t="inlineStr">
        <is>
          <t>Sprint 2.4 - DeliveryRule, PickupRule, CalendarProfile models added</t>
        </is>
      </c>
      <c r="H13" s="232" t="inlineStr">
        <is>
          <t>☑</t>
        </is>
      </c>
      <c r="I13" s="248" t="inlineStr">
        <is>
          <t>VS - Vikram</t>
        </is>
      </c>
      <c r="J13" s="197" t="inlineStr">
        <is>
          <t>Core Backend</t>
        </is>
      </c>
      <c r="K13" s="238" t="inlineStr">
        <is>
          <t>DONE</t>
        </is>
      </c>
    </row>
    <row r="14" ht="23.25" customHeight="1" s="186">
      <c r="A14" s="192" t="inlineStr">
        <is>
          <t>shippingProfile</t>
        </is>
      </c>
      <c r="B14" s="192" t="inlineStr">
        <is>
          <t>shipping_profiles</t>
        </is>
      </c>
      <c r="C14" s="192" t="inlineStr">
        <is>
          <t>ShippingProfile + ShippingRate + ShippingZoneRule + DeliveryCalendar</t>
        </is>
      </c>
      <c r="D14" s="230" t="inlineStr">
        <is>
          <t>MISSING</t>
        </is>
      </c>
      <c r="E14" s="192" t="inlineStr">
        <is>
          <t>Entire model: locations[], rates[], rules[], zones[], delivery_methods[], processing_times, conditions, product_groups</t>
        </is>
      </c>
      <c r="F14" s="231" t="inlineStr">
        <is>
          <t>P0</t>
        </is>
      </c>
      <c r="G14" s="192" t="inlineStr">
        <is>
          <t>Sprint 2.5: 31-shipping-profiles-v2.prisma + full core module</t>
        </is>
      </c>
      <c r="H14" s="232" t="inlineStr">
        <is>
          <t>☑</t>
        </is>
      </c>
      <c r="I14" s="245" t="inlineStr">
        <is>
          <t>VS - Vikram</t>
        </is>
      </c>
      <c r="J14" s="193" t="inlineStr">
        <is>
          <t>Core Backend</t>
        </is>
      </c>
      <c r="K14" s="246" t="inlineStr">
        <is>
          <t>DONE</t>
        </is>
      </c>
    </row>
    <row r="15" ht="23.25" customHeight="1" s="186">
      <c r="A15" s="222" t="inlineStr">
        <is>
          <t>zone</t>
        </is>
      </c>
      <c r="B15" s="222" t="inlineStr">
        <is>
          <t>zones</t>
        </is>
      </c>
      <c r="C15" s="222" t="inlineStr">
        <is>
          <t>DeliveryZone</t>
        </is>
      </c>
      <c r="D15" s="223" t="inlineStr">
        <is>
          <t>EXISTS</t>
        </is>
      </c>
      <c r="E15" s="222" t="inlineStr">
        <is>
          <t>boundary polygon (PostGIS), color, description, delivery_methods[], associated_locations[], max_distance, estimated_time_range</t>
        </is>
      </c>
      <c r="F15" s="223" t="inlineStr">
        <is>
          <t>P1</t>
        </is>
      </c>
      <c r="G15" s="222" t="inlineStr">
        <is>
          <t>PostGIS boundary is TODO; zone features limited</t>
        </is>
      </c>
      <c r="H15" s="225" t="inlineStr">
        <is>
          <t>☑</t>
        </is>
      </c>
      <c r="I15" s="249" t="inlineStr">
        <is>
          <t>VS - Vikram</t>
        </is>
      </c>
      <c r="J15" s="227" t="inlineStr">
        <is>
          <t>Core Backend</t>
        </is>
      </c>
      <c r="K15" s="229" t="inlineStr">
        <is>
          <t>DONE</t>
        </is>
      </c>
    </row>
    <row r="16" ht="34.5" customHeight="1" s="186">
      <c r="A16" s="222" t="inlineStr">
        <is>
          <t>location / warehouse</t>
        </is>
      </c>
      <c r="B16" s="222" t="inlineStr">
        <is>
          <t>locations</t>
        </is>
      </c>
      <c r="C16" s="222" t="inlineStr">
        <is>
          <t>Location</t>
        </is>
      </c>
      <c r="D16" s="224" t="inlineStr">
        <is>
          <t>EXISTS</t>
        </is>
      </c>
      <c r="E16" s="222" t="inlineStr">
        <is>
          <t>Entire model: name, address, coordinates, type (warehouse/store/hub), inventory[], working_hours, pickup_rules, delivery_rules, associated_zones[], capacity, contact_info</t>
        </is>
      </c>
      <c r="F16" s="224" t="inlineStr">
        <is>
          <t>P0</t>
        </is>
      </c>
      <c r="G16" s="222" t="inlineStr">
        <is>
          <t>No location/warehouse model in new schema</t>
        </is>
      </c>
      <c r="H16" s="225" t="inlineStr">
        <is>
          <t>☑</t>
        </is>
      </c>
      <c r="I16" s="249" t="inlineStr">
        <is>
          <t>VS - Vikram</t>
        </is>
      </c>
      <c r="J16" s="227" t="inlineStr">
        <is>
          <t>Core Backend</t>
        </is>
      </c>
      <c r="K16" s="229" t="inlineStr">
        <is>
          <t>DONE</t>
        </is>
      </c>
    </row>
    <row r="17" ht="34.5" customHeight="1" s="186">
      <c r="A17" s="222" t="inlineStr">
        <is>
          <t>vehicle</t>
        </is>
      </c>
      <c r="B17" s="222" t="inlineStr">
        <is>
          <t>vehicles</t>
        </is>
      </c>
      <c r="C17" s="222" t="inlineStr">
        <is>
          <t>Driver (with vehicle fields)</t>
        </is>
      </c>
      <c r="D17" s="223" t="inlineStr">
        <is>
          <t>EXISTS</t>
        </is>
      </c>
      <c r="E17" s="222" t="inlineStr">
        <is>
          <t>Old had separate Vehicle model: make, model, year, color, insurance, registration, capacity_volume, capacity_weight, fuel_type, maintenance_schedule</t>
        </is>
      </c>
      <c r="F17" s="239" t="inlineStr">
        <is>
          <t>P2</t>
        </is>
      </c>
      <c r="G17" s="222" t="inlineStr">
        <is>
          <t>New schema has vehicleType/vehiclePlate on Driver only</t>
        </is>
      </c>
      <c r="H17" s="225" t="inlineStr">
        <is>
          <t>☑</t>
        </is>
      </c>
      <c r="I17" s="249" t="inlineStr">
        <is>
          <t>VS - Vikram</t>
        </is>
      </c>
      <c r="J17" s="227" t="inlineStr">
        <is>
          <t>Core Backend</t>
        </is>
      </c>
      <c r="K17" s="229" t="inlineStr">
        <is>
          <t>DONE</t>
        </is>
      </c>
    </row>
    <row r="18" ht="23.25" customHeight="1" s="186">
      <c r="A18" s="222" t="inlineStr">
        <is>
          <t>notificationTemplate</t>
        </is>
      </c>
      <c r="B18" s="222" t="inlineStr">
        <is>
          <t>notification_templates</t>
        </is>
      </c>
      <c r="C18" s="222" t="inlineStr">
        <is>
          <t>NotificationTemplate</t>
        </is>
      </c>
      <c r="D18" s="224" t="inlineStr">
        <is>
          <t>EXISTS</t>
        </is>
      </c>
      <c r="E18" s="222" t="inlineStr">
        <is>
          <t>Entire model: channel, event_type, subject, body_template, variables[], isActive, language, version</t>
        </is>
      </c>
      <c r="F18" s="223" t="inlineStr">
        <is>
          <t>P1</t>
        </is>
      </c>
      <c r="G18" s="222" t="inlineStr">
        <is>
          <t>Notification template system missing</t>
        </is>
      </c>
      <c r="H18" s="225" t="inlineStr">
        <is>
          <t>☑</t>
        </is>
      </c>
      <c r="I18" s="240" t="inlineStr">
        <is>
          <t>SP - Sanya</t>
        </is>
      </c>
      <c r="J18" s="227" t="inlineStr">
        <is>
          <t>Integrations</t>
        </is>
      </c>
      <c r="K18" s="229" t="inlineStr">
        <is>
          <t>DONE</t>
        </is>
      </c>
    </row>
    <row r="19" ht="23.25" customHeight="1" s="186">
      <c r="A19" s="222" t="inlineStr">
        <is>
          <t>notificationConfig</t>
        </is>
      </c>
      <c r="B19" s="222" t="inlineStr">
        <is>
          <t>notification_configs</t>
        </is>
      </c>
      <c r="C19" s="222" t="inlineStr">
        <is>
          <t>NotificationLog</t>
        </is>
      </c>
      <c r="D19" s="224" t="inlineStr">
        <is>
          <t>EXISTS</t>
        </is>
      </c>
      <c r="E19" s="222" t="inlineStr">
        <is>
          <t>Per-store notification preferences: enabled_channels{}, event_subscriptions{}, quiet_hours, frequency_limits</t>
        </is>
      </c>
      <c r="F19" s="223" t="inlineStr">
        <is>
          <t>P1</t>
        </is>
      </c>
      <c r="G19" s="222" t="inlineStr">
        <is>
          <t>Notification configuration missing</t>
        </is>
      </c>
      <c r="H19" s="225" t="inlineStr">
        <is>
          <t>☑</t>
        </is>
      </c>
      <c r="I19" s="240" t="inlineStr">
        <is>
          <t>SP - Sanya</t>
        </is>
      </c>
      <c r="J19" s="227" t="inlineStr">
        <is>
          <t>Integrations</t>
        </is>
      </c>
      <c r="K19" s="229" t="inlineStr">
        <is>
          <t>DONE</t>
        </is>
      </c>
    </row>
    <row r="20" ht="23.25" customHeight="1" s="186">
      <c r="A20" s="192" t="inlineStr">
        <is>
          <t>whatsappTemplate</t>
        </is>
      </c>
      <c r="B20" s="192" t="inlineStr">
        <is>
          <t>whatsapp_templates</t>
        </is>
      </c>
      <c r="C20" s="192" t="inlineStr">
        <is>
          <t>—</t>
        </is>
      </c>
      <c r="D20" s="230" t="inlineStr">
        <is>
          <t>MISSING</t>
        </is>
      </c>
      <c r="E20" s="192" t="inlineStr">
        <is>
          <t>Entire model: template_id, name, language, category, components[], status, provider_template_id</t>
        </is>
      </c>
      <c r="F20" s="250" t="inlineStr">
        <is>
          <t>P2</t>
        </is>
      </c>
      <c r="G20" s="192" t="inlineStr">
        <is>
          <t>WhatsApp Business template management</t>
        </is>
      </c>
      <c r="H20" s="232" t="inlineStr">
        <is>
          <t>☑</t>
        </is>
      </c>
      <c r="I20" s="251" t="inlineStr">
        <is>
          <t>SP - Sanya</t>
        </is>
      </c>
      <c r="J20" s="193" t="inlineStr">
        <is>
          <t>Integrations</t>
        </is>
      </c>
      <c r="K20" s="234" t="inlineStr">
        <is>
          <t>DONE</t>
        </is>
      </c>
    </row>
    <row r="21" ht="23.25" customHeight="1" s="186">
      <c r="A21" s="196" t="inlineStr">
        <is>
          <t>campaign</t>
        </is>
      </c>
      <c r="B21" s="196" t="inlineStr">
        <is>
          <t>campaigns</t>
        </is>
      </c>
      <c r="C21" s="196" t="inlineStr">
        <is>
          <t>—</t>
        </is>
      </c>
      <c r="D21" s="230" t="inlineStr">
        <is>
          <t>MISSING</t>
        </is>
      </c>
      <c r="E21" s="196" t="inlineStr">
        <is>
          <t>Entire model: name, type, audience_filter, template_ref, schedule, status, sent_count, open_rate, click_rate</t>
        </is>
      </c>
      <c r="F21" s="252" t="inlineStr">
        <is>
          <t>P2</t>
        </is>
      </c>
      <c r="G21" s="196" t="inlineStr">
        <is>
          <t>Campaign/marketing module missing</t>
        </is>
      </c>
      <c r="H21" s="232" t="inlineStr">
        <is>
          <t>☑</t>
        </is>
      </c>
      <c r="I21" s="253" t="inlineStr">
        <is>
          <t>SP - Sanya</t>
        </is>
      </c>
      <c r="J21" s="197" t="inlineStr">
        <is>
          <t>Integrations</t>
        </is>
      </c>
      <c r="K21" s="238" t="inlineStr">
        <is>
          <t>DONE</t>
        </is>
      </c>
    </row>
    <row r="22" ht="15" customHeight="1" s="186">
      <c r="A22" s="192" t="inlineStr">
        <is>
          <t>broadcastGroup</t>
        </is>
      </c>
      <c r="B22" s="192" t="inlineStr">
        <is>
          <t>broadcast_groups</t>
        </is>
      </c>
      <c r="C22" s="192" t="inlineStr">
        <is>
          <t>—</t>
        </is>
      </c>
      <c r="D22" s="230" t="inlineStr">
        <is>
          <t>MISSING</t>
        </is>
      </c>
      <c r="E22" s="192" t="inlineStr">
        <is>
          <t>Entire model: name, type, member_filter, members[], metadata</t>
        </is>
      </c>
      <c r="F22" s="250" t="inlineStr">
        <is>
          <t>P2</t>
        </is>
      </c>
      <c r="G22" s="192" t="inlineStr">
        <is>
          <t>Broadcast targeting missing</t>
        </is>
      </c>
      <c r="H22" s="232" t="inlineStr">
        <is>
          <t>☑</t>
        </is>
      </c>
      <c r="I22" s="251" t="inlineStr">
        <is>
          <t>SP - Sanya</t>
        </is>
      </c>
      <c r="J22" s="193" t="inlineStr">
        <is>
          <t>Integrations</t>
        </is>
      </c>
      <c r="K22" s="234" t="inlineStr">
        <is>
          <t>DONE</t>
        </is>
      </c>
    </row>
    <row r="23" ht="23.25" customHeight="1" s="186">
      <c r="A23" s="196" t="inlineStr">
        <is>
          <t>emailTemplate</t>
        </is>
      </c>
      <c r="B23" s="196" t="inlineStr">
        <is>
          <t>email_templates</t>
        </is>
      </c>
      <c r="C23" s="196" t="inlineStr">
        <is>
          <t>—</t>
        </is>
      </c>
      <c r="D23" s="230" t="inlineStr">
        <is>
          <t>MISSING</t>
        </is>
      </c>
      <c r="E23" s="196" t="inlineStr">
        <is>
          <t>Entire model: name, subject, html_body, design_json (Unlayer), category, variables[]</t>
        </is>
      </c>
      <c r="F23" s="252" t="inlineStr">
        <is>
          <t>P2</t>
        </is>
      </c>
      <c r="G23" s="196" t="inlineStr">
        <is>
          <t>Email template editor/storage missing</t>
        </is>
      </c>
      <c r="H23" s="232" t="inlineStr">
        <is>
          <t>☑</t>
        </is>
      </c>
      <c r="I23" s="253" t="inlineStr">
        <is>
          <t>SP - Sanya</t>
        </is>
      </c>
      <c r="J23" s="197" t="inlineStr">
        <is>
          <t>Integrations</t>
        </is>
      </c>
      <c r="K23" s="238" t="inlineStr">
        <is>
          <t>DONE</t>
        </is>
      </c>
    </row>
    <row r="24" ht="23.25" customHeight="1" s="186">
      <c r="A24" s="192" t="inlineStr">
        <is>
          <t>paymentGateway</t>
        </is>
      </c>
      <c r="B24" s="192" t="inlineStr">
        <is>
          <t>payment_gateways</t>
        </is>
      </c>
      <c r="C24" s="192" t="inlineStr">
        <is>
          <t>PaymentMethod + PaymentTransaction + IdempotencyKey</t>
        </is>
      </c>
      <c r="D24" s="230" t="inlineStr">
        <is>
          <t>MISSING</t>
        </is>
      </c>
      <c r="E24" s="192" t="inlineStr">
        <is>
          <t>Entire model: provider, config, supported_methods[], fees, enabled, test_mode</t>
        </is>
      </c>
      <c r="F24" s="254" t="inlineStr">
        <is>
          <t>P1</t>
        </is>
      </c>
      <c r="G24" s="192" t="inlineStr">
        <is>
          <t>Sprint 2.5: 30-payments.prisma + payment processor</t>
        </is>
      </c>
      <c r="H24" s="232" t="inlineStr">
        <is>
          <t>☑</t>
        </is>
      </c>
      <c r="I24" s="255" t="inlineStr">
        <is>
          <t>RG - Rohan</t>
        </is>
      </c>
      <c r="J24" s="193" t="inlineStr">
        <is>
          <t>Integrations</t>
        </is>
      </c>
      <c r="K24" s="246" t="inlineStr">
        <is>
          <t>DONE</t>
        </is>
      </c>
    </row>
    <row r="25" ht="23.25" customHeight="1" s="186">
      <c r="A25" s="196" t="inlineStr">
        <is>
          <t>codGateway</t>
        </is>
      </c>
      <c r="B25" s="196" t="inlineStr">
        <is>
          <t>cod_gateways</t>
        </is>
      </c>
      <c r="C25" s="196" t="inlineStr">
        <is>
          <t>CODCollection (in 30-payments.prisma)</t>
        </is>
      </c>
      <c r="D25" s="230" t="inlineStr">
        <is>
          <t>MISSING</t>
        </is>
      </c>
      <c r="E25" s="196" t="inlineStr">
        <is>
          <t>Entire model: enabled, verification_required, max_amount, collection_rules, reconciliation</t>
        </is>
      </c>
      <c r="F25" s="236" t="inlineStr">
        <is>
          <t>P1</t>
        </is>
      </c>
      <c r="G25" s="196" t="inlineStr">
        <is>
          <t>Sprint 2.5: CODGateway class in payments module</t>
        </is>
      </c>
      <c r="H25" s="232" t="inlineStr">
        <is>
          <t>☑</t>
        </is>
      </c>
      <c r="I25" s="256" t="inlineStr">
        <is>
          <t>RG - Rohan</t>
        </is>
      </c>
      <c r="J25" s="197" t="inlineStr">
        <is>
          <t>Integrations</t>
        </is>
      </c>
      <c r="K25" s="246" t="inlineStr">
        <is>
          <t>DONE</t>
        </is>
      </c>
    </row>
    <row r="26" ht="23.25" customHeight="1" s="186">
      <c r="A26" s="222" t="inlineStr">
        <is>
          <t>paymentTransaction</t>
        </is>
      </c>
      <c r="B26" s="222" t="inlineStr">
        <is>
          <t>payment_transactions</t>
        </is>
      </c>
      <c r="C26" s="222" t="inlineStr">
        <is>
          <t>PaymentTransaction</t>
        </is>
      </c>
      <c r="D26" s="224" t="inlineStr">
        <is>
          <t>EXISTS</t>
        </is>
      </c>
      <c r="E26" s="222" t="inlineStr">
        <is>
          <t>Entire model: order_ref, shipment_ref, amount, currency, method, status, provider_txn_id, refund_id, metadata</t>
        </is>
      </c>
      <c r="F26" s="223" t="inlineStr">
        <is>
          <t>P1</t>
        </is>
      </c>
      <c r="G26" s="222" t="inlineStr">
        <is>
          <t>No transaction tracking</t>
        </is>
      </c>
      <c r="H26" s="225" t="inlineStr">
        <is>
          <t>☑</t>
        </is>
      </c>
      <c r="I26" s="257" t="inlineStr">
        <is>
          <t>RG - Rohan</t>
        </is>
      </c>
      <c r="J26" s="227" t="inlineStr">
        <is>
          <t>Integrations</t>
        </is>
      </c>
      <c r="K26" s="229" t="inlineStr">
        <is>
          <t>DONE</t>
        </is>
      </c>
    </row>
    <row r="27" ht="23.25" customHeight="1" s="186">
      <c r="A27" s="222" t="inlineStr">
        <is>
          <t>product</t>
        </is>
      </c>
      <c r="B27" s="222" t="inlineStr">
        <is>
          <t>products</t>
        </is>
      </c>
      <c r="C27" s="222" t="inlineStr">
        <is>
          <t>Product</t>
        </is>
      </c>
      <c r="D27" s="224" t="inlineStr">
        <is>
          <t>EXISTS</t>
        </is>
      </c>
      <c r="E27" s="222" t="inlineStr">
        <is>
          <t>Entire model: shopify_product_id, title, variants[], images[], tags[], product_type, vendor, weight, dimensions, inventory_quantity, metafields</t>
        </is>
      </c>
      <c r="F27" s="223" t="inlineStr">
        <is>
          <t>P1</t>
        </is>
      </c>
      <c r="G27" s="222" t="inlineStr">
        <is>
          <t>No product catalog in new schema</t>
        </is>
      </c>
      <c r="H27" s="225" t="inlineStr">
        <is>
          <t>☑</t>
        </is>
      </c>
      <c r="I27" s="226" t="inlineStr">
        <is>
          <t>PK - Priya</t>
        </is>
      </c>
      <c r="J27" s="227" t="inlineStr">
        <is>
          <t>Core Backend</t>
        </is>
      </c>
      <c r="K27" s="229" t="inlineStr">
        <is>
          <t>DONE</t>
        </is>
      </c>
    </row>
    <row r="28" ht="23.25" customHeight="1" s="186">
      <c r="A28" s="222" t="inlineStr">
        <is>
          <t>customer</t>
        </is>
      </c>
      <c r="B28" s="222" t="inlineStr">
        <is>
          <t>customers</t>
        </is>
      </c>
      <c r="C28" s="222" t="inlineStr">
        <is>
          <t>Customer</t>
        </is>
      </c>
      <c r="D28" s="224" t="inlineStr">
        <is>
          <t>EXISTS</t>
        </is>
      </c>
      <c r="E28" s="222" t="inlineStr">
        <is>
          <t>Entire model: shopify_customer_id, name, email, phone, addresses[], orders_count, total_spent, tags[], notes, marketing_consent</t>
        </is>
      </c>
      <c r="F28" s="223" t="inlineStr">
        <is>
          <t>P1</t>
        </is>
      </c>
      <c r="G28" s="222" t="inlineStr">
        <is>
          <t>No customer model in new schema</t>
        </is>
      </c>
      <c r="H28" s="225" t="inlineStr">
        <is>
          <t>☑</t>
        </is>
      </c>
      <c r="I28" s="226" t="inlineStr">
        <is>
          <t>PK - Priya</t>
        </is>
      </c>
      <c r="J28" s="227" t="inlineStr">
        <is>
          <t>Core Backend</t>
        </is>
      </c>
      <c r="K28" s="229" t="inlineStr">
        <is>
          <t>DONE</t>
        </is>
      </c>
    </row>
    <row r="29" ht="23.25" customHeight="1" s="186">
      <c r="A29" s="196" t="inlineStr">
        <is>
          <t>collection</t>
        </is>
      </c>
      <c r="B29" s="196" t="inlineStr">
        <is>
          <t>collections</t>
        </is>
      </c>
      <c r="C29" s="196" t="inlineStr">
        <is>
          <t>—</t>
        </is>
      </c>
      <c r="D29" s="230" t="inlineStr">
        <is>
          <t>EXISTS</t>
        </is>
      </c>
      <c r="E29" s="196" t="inlineStr">
        <is>
          <t>Entire model: shopify_collection_id, title, products[], type, sort_order, image</t>
        </is>
      </c>
      <c r="F29" s="252" t="inlineStr">
        <is>
          <t>P2</t>
        </is>
      </c>
      <c r="G29" s="196" t="inlineStr">
        <is>
          <t>Sprint 2.7</t>
        </is>
      </c>
      <c r="H29" s="232" t="inlineStr">
        <is>
          <t>☑</t>
        </is>
      </c>
      <c r="I29" s="258" t="inlineStr">
        <is>
          <t>PK - Priya</t>
        </is>
      </c>
      <c r="J29" s="197" t="inlineStr">
        <is>
          <t>Core Backend</t>
        </is>
      </c>
      <c r="K29" s="238" t="inlineStr">
        <is>
          <t>NOT STARTED</t>
        </is>
      </c>
    </row>
    <row r="30" ht="23.25" customHeight="1" s="186">
      <c r="A30" s="192" t="inlineStr">
        <is>
          <t>inventoryItem</t>
        </is>
      </c>
      <c r="B30" s="192" t="inlineStr">
        <is>
          <t>inventory_items</t>
        </is>
      </c>
      <c r="C30" s="192" t="inlineStr">
        <is>
          <t>—</t>
        </is>
      </c>
      <c r="D30" s="230" t="inlineStr">
        <is>
          <t>EXISTS</t>
        </is>
      </c>
      <c r="E30" s="192" t="inlineStr">
        <is>
          <t>Entire model: product_ref, location_ref, quantity, reserved, available, reorder_point, last_sync</t>
        </is>
      </c>
      <c r="F30" s="254" t="inlineStr">
        <is>
          <t>P1</t>
        </is>
      </c>
      <c r="G30" s="192" t="inlineStr">
        <is>
          <t>Sprint 2.4 - InventoryItem, InventoryMovement, Collection models</t>
        </is>
      </c>
      <c r="H30" s="232" t="inlineStr">
        <is>
          <t>☑</t>
        </is>
      </c>
      <c r="I30" s="233" t="inlineStr">
        <is>
          <t>PK - Priya</t>
        </is>
      </c>
      <c r="J30" s="193" t="inlineStr">
        <is>
          <t>Core Backend</t>
        </is>
      </c>
      <c r="K30" s="234" t="inlineStr">
        <is>
          <t>DONE</t>
        </is>
      </c>
    </row>
    <row r="31" ht="15" customHeight="1" s="186">
      <c r="A31" s="196" t="inlineStr">
        <is>
          <t>proofOfDelivery</t>
        </is>
      </c>
      <c r="B31" s="196" t="inlineStr">
        <is>
          <t>Various (in old)</t>
        </is>
      </c>
      <c r="C31" s="196" t="inlineStr">
        <is>
          <t>ProofOfDelivery</t>
        </is>
      </c>
      <c r="D31" s="241" t="inlineStr">
        <is>
          <t>EXISTS</t>
        </is>
      </c>
      <c r="E31" s="196" t="inlineStr">
        <is>
          <t>—</t>
        </is>
      </c>
      <c r="F31" s="196" t="inlineStr">
        <is>
          <t>—</t>
        </is>
      </c>
      <c r="G31" s="196" t="inlineStr">
        <is>
          <t>Model exists in new schema</t>
        </is>
      </c>
      <c r="H31" s="242" t="inlineStr">
        <is>
          <t>☑</t>
        </is>
      </c>
      <c r="I31" s="243" t="inlineStr">
        <is>
          <t>—</t>
        </is>
      </c>
      <c r="J31" s="197" t="inlineStr">
        <is>
          <t>—</t>
        </is>
      </c>
      <c r="K31" s="244" t="inlineStr">
        <is>
          <t>DONE</t>
        </is>
      </c>
    </row>
    <row r="32" ht="23.25" customHeight="1" s="186">
      <c r="A32" s="222" t="inlineStr">
        <is>
          <t>activityLog / history</t>
        </is>
      </c>
      <c r="B32" s="222" t="inlineStr">
        <is>
          <t>histories</t>
        </is>
      </c>
      <c r="C32" s="222" t="inlineStr">
        <is>
          <t>ActivityLog</t>
        </is>
      </c>
      <c r="D32" s="224" t="inlineStr">
        <is>
          <t>EXISTS</t>
        </is>
      </c>
      <c r="E32" s="222" t="inlineStr">
        <is>
          <t>Entire model: entity_type, entity_id, action, actor, changes{}, timestamp, ip_address</t>
        </is>
      </c>
      <c r="F32" s="223" t="inlineStr">
        <is>
          <t>P1</t>
        </is>
      </c>
      <c r="G32" s="222" t="inlineStr">
        <is>
          <t>No audit trail / activity log model</t>
        </is>
      </c>
      <c r="H32" s="225" t="inlineStr">
        <is>
          <t>☑</t>
        </is>
      </c>
      <c r="I32" s="235" t="inlineStr">
        <is>
          <t>AR - Arjun</t>
        </is>
      </c>
      <c r="J32" s="227" t="inlineStr">
        <is>
          <t>Architecture</t>
        </is>
      </c>
      <c r="K32" s="229" t="inlineStr">
        <is>
          <t>DONE</t>
        </is>
      </c>
    </row>
    <row r="33" ht="23.25" customHeight="1" s="186">
      <c r="A33" s="196" t="inlineStr">
        <is>
          <t>tableFilter</t>
        </is>
      </c>
      <c r="B33" s="196" t="inlineStr">
        <is>
          <t>table_filters</t>
        </is>
      </c>
      <c r="C33" s="196" t="inlineStr">
        <is>
          <t>—</t>
        </is>
      </c>
      <c r="D33" s="230" t="inlineStr">
        <is>
          <t>EXISTS</t>
        </is>
      </c>
      <c r="E33" s="196" t="inlineStr">
        <is>
          <t>Entire model: user_ref, table_name, filters[], sort_config, column_visibility, is_default</t>
        </is>
      </c>
      <c r="F33" s="196" t="inlineStr">
        <is>
          <t>P3</t>
        </is>
      </c>
      <c r="G33" s="196" t="inlineStr">
        <is>
          <t>Sprint 2.7</t>
        </is>
      </c>
      <c r="H33" s="232" t="inlineStr">
        <is>
          <t>☑</t>
        </is>
      </c>
      <c r="I33" s="259" t="inlineStr">
        <is>
          <t>NK - Neha</t>
        </is>
      </c>
      <c r="J33" s="197" t="inlineStr">
        <is>
          <t>Frontend</t>
        </is>
      </c>
      <c r="K33" s="238" t="inlineStr">
        <is>
          <t>NOT STARTED</t>
        </is>
      </c>
    </row>
    <row r="34" ht="15" customHeight="1" s="186">
      <c r="A34" s="192" t="inlineStr">
        <is>
          <t>customMetafield</t>
        </is>
      </c>
      <c r="B34" s="192" t="inlineStr">
        <is>
          <t>custom_metafields</t>
        </is>
      </c>
      <c r="C34" s="192" t="inlineStr">
        <is>
          <t>—</t>
        </is>
      </c>
      <c r="D34" s="230" t="inlineStr">
        <is>
          <t>EXISTS</t>
        </is>
      </c>
      <c r="E34" s="192" t="inlineStr">
        <is>
          <t>Entire model: entity_type, entity_id, namespace, key, value, type</t>
        </is>
      </c>
      <c r="F34" s="250" t="inlineStr">
        <is>
          <t>P2</t>
        </is>
      </c>
      <c r="G34" s="192" t="inlineStr">
        <is>
          <t>Sprint 2.4 - Metafield + MetafieldDefinition models</t>
        </is>
      </c>
      <c r="H34" s="232" t="inlineStr">
        <is>
          <t>☑</t>
        </is>
      </c>
      <c r="I34" s="233" t="inlineStr">
        <is>
          <t>PK - Priya</t>
        </is>
      </c>
      <c r="J34" s="193" t="inlineStr">
        <is>
          <t>Core Backend</t>
        </is>
      </c>
      <c r="K34" s="234" t="inlineStr">
        <is>
          <t>DONE</t>
        </is>
      </c>
    </row>
    <row r="35" ht="15" customHeight="1" s="186">
      <c r="A35" s="196" t="inlineStr">
        <is>
          <t>widget</t>
        </is>
      </c>
      <c r="B35" s="196" t="inlineStr">
        <is>
          <t>widgets</t>
        </is>
      </c>
      <c r="C35" s="196" t="inlineStr">
        <is>
          <t>—</t>
        </is>
      </c>
      <c r="D35" s="230" t="inlineStr">
        <is>
          <t>EXISTS</t>
        </is>
      </c>
      <c r="E35" s="196" t="inlineStr">
        <is>
          <t>Entire model: type, config, position, styling, isActive, target_pages[]</t>
        </is>
      </c>
      <c r="F35" s="252" t="inlineStr">
        <is>
          <t>P2</t>
        </is>
      </c>
      <c r="G35" s="196" t="inlineStr">
        <is>
          <t>Sprint 2.7</t>
        </is>
      </c>
      <c r="H35" s="232" t="inlineStr">
        <is>
          <t>☑</t>
        </is>
      </c>
      <c r="I35" s="256" t="inlineStr">
        <is>
          <t>RG - Rohan</t>
        </is>
      </c>
      <c r="J35" s="197" t="inlineStr">
        <is>
          <t>Integrations</t>
        </is>
      </c>
      <c r="K35" s="238" t="inlineStr">
        <is>
          <t>NOT STARTED</t>
        </is>
      </c>
    </row>
    <row r="36" ht="23.25" customHeight="1" s="186">
      <c r="A36" s="192" t="inlineStr">
        <is>
          <t>supportTicket</t>
        </is>
      </c>
      <c r="B36" s="192" t="inlineStr">
        <is>
          <t>support_tickets</t>
        </is>
      </c>
      <c r="C36" s="192" t="inlineStr">
        <is>
          <t>—</t>
        </is>
      </c>
      <c r="D36" s="230" t="inlineStr">
        <is>
          <t>EXISTS</t>
        </is>
      </c>
      <c r="E36" s="192" t="inlineStr">
        <is>
          <t>Entire model: subject, description, status, priority, category, assignee, messages[], attachments[]</t>
        </is>
      </c>
      <c r="F36" s="192" t="inlineStr">
        <is>
          <t>P3</t>
        </is>
      </c>
      <c r="G36" s="192" t="inlineStr">
        <is>
          <t>Sprint 2.7</t>
        </is>
      </c>
      <c r="H36" s="232" t="inlineStr">
        <is>
          <t>☑</t>
        </is>
      </c>
      <c r="I36" s="255" t="inlineStr">
        <is>
          <t>RG - Rohan</t>
        </is>
      </c>
      <c r="J36" s="193" t="inlineStr">
        <is>
          <t>Integrations</t>
        </is>
      </c>
      <c r="K36" s="234" t="inlineStr">
        <is>
          <t>NOT STARTED</t>
        </is>
      </c>
    </row>
    <row r="37" ht="15" customHeight="1" s="186">
      <c r="A37" s="196" t="inlineStr">
        <is>
          <t>featureRequest</t>
        </is>
      </c>
      <c r="B37" s="196" t="inlineStr">
        <is>
          <t>feature_requests</t>
        </is>
      </c>
      <c r="C37" s="196" t="inlineStr">
        <is>
          <t>—</t>
        </is>
      </c>
      <c r="D37" s="230" t="inlineStr">
        <is>
          <t>EXISTS</t>
        </is>
      </c>
      <c r="E37" s="196" t="inlineStr">
        <is>
          <t>Entire model: title, description, status, votes, category</t>
        </is>
      </c>
      <c r="F37" s="196" t="inlineStr">
        <is>
          <t>P3</t>
        </is>
      </c>
      <c r="G37" s="196" t="inlineStr">
        <is>
          <t>Sprint 2.7</t>
        </is>
      </c>
      <c r="H37" s="232" t="inlineStr">
        <is>
          <t>☑</t>
        </is>
      </c>
      <c r="I37" s="256" t="inlineStr">
        <is>
          <t>RG - Rohan</t>
        </is>
      </c>
      <c r="J37" s="197" t="inlineStr">
        <is>
          <t>Integrations</t>
        </is>
      </c>
      <c r="K37" s="238" t="inlineStr">
        <is>
          <t>NOT STARTED</t>
        </is>
      </c>
    </row>
    <row r="38" ht="23.25" customHeight="1" s="186">
      <c r="A38" s="192" t="inlineStr">
        <is>
          <t>storeQuota</t>
        </is>
      </c>
      <c r="B38" s="192" t="inlineStr">
        <is>
          <t>store_quotas</t>
        </is>
      </c>
      <c r="C38" s="192" t="inlineStr">
        <is>
          <t>Shop.planTier + billing/index.ts</t>
        </is>
      </c>
      <c r="D38" s="230" t="inlineStr">
        <is>
          <t>EXISTS</t>
        </is>
      </c>
      <c r="E38" s="192" t="inlineStr">
        <is>
          <t>Entire model: plan_ref, orders_limit, shipments_limit, api_calls_limit, storage_limit, current_usage{}</t>
        </is>
      </c>
      <c r="F38" s="254" t="inlineStr">
        <is>
          <t>P1</t>
        </is>
      </c>
      <c r="G38" s="192" t="inlineStr">
        <is>
          <t>Sprint 2.7</t>
        </is>
      </c>
      <c r="H38" s="232" t="inlineStr">
        <is>
          <t>☑</t>
        </is>
      </c>
      <c r="I38" s="255" t="inlineStr">
        <is>
          <t>RG - Rohan</t>
        </is>
      </c>
      <c r="J38" s="193" t="inlineStr">
        <is>
          <t>Integrations</t>
        </is>
      </c>
      <c r="K38" s="234" t="inlineStr">
        <is>
          <t>IN PROGRESS</t>
        </is>
      </c>
    </row>
    <row r="39" ht="15" customHeight="1" s="186">
      <c r="A39" s="196" t="inlineStr">
        <is>
          <t>billingPlan</t>
        </is>
      </c>
      <c r="B39" s="196" t="inlineStr">
        <is>
          <t>billing_plans</t>
        </is>
      </c>
      <c r="C39" s="196" t="inlineStr">
        <is>
          <t>PLANS constant (billing module)</t>
        </is>
      </c>
      <c r="D39" s="230" t="inlineStr">
        <is>
          <t>EXISTS</t>
        </is>
      </c>
      <c r="E39" s="196" t="inlineStr">
        <is>
          <t>Entire model: name, price, interval, features[], limits{}, trial_days, is_active</t>
        </is>
      </c>
      <c r="F39" s="236" t="inlineStr">
        <is>
          <t>P1</t>
        </is>
      </c>
      <c r="G39" s="196" t="inlineStr">
        <is>
          <t>Sprint 2.7</t>
        </is>
      </c>
      <c r="H39" s="232" t="inlineStr">
        <is>
          <t>☑</t>
        </is>
      </c>
      <c r="I39" s="256" t="inlineStr">
        <is>
          <t>RG - Rohan</t>
        </is>
      </c>
      <c r="J39" s="197" t="inlineStr">
        <is>
          <t>Integrations</t>
        </is>
      </c>
      <c r="K39" s="238" t="inlineStr">
        <is>
          <t>IN PROGRESS</t>
        </is>
      </c>
    </row>
    <row r="40" ht="23.25" customHeight="1" s="186">
      <c r="A40" s="192" t="inlineStr">
        <is>
          <t>billingSubscription</t>
        </is>
      </c>
      <c r="B40" s="192" t="inlineStr">
        <is>
          <t>billing_subscriptions</t>
        </is>
      </c>
      <c r="C40" s="192" t="inlineStr">
        <is>
          <t>Shop.planTier + billing routes</t>
        </is>
      </c>
      <c r="D40" s="230" t="inlineStr">
        <is>
          <t>EXISTS</t>
        </is>
      </c>
      <c r="E40" s="192" t="inlineStr">
        <is>
          <t>Entire model: shop_ref, plan_ref, status, current_period_start, current_period_end, cancelled_at, shopify_charge_id</t>
        </is>
      </c>
      <c r="F40" s="254" t="inlineStr">
        <is>
          <t>P1</t>
        </is>
      </c>
      <c r="G40" s="192" t="inlineStr">
        <is>
          <t>Sprint 2.7</t>
        </is>
      </c>
      <c r="H40" s="232" t="inlineStr">
        <is>
          <t>☑</t>
        </is>
      </c>
      <c r="I40" s="255" t="inlineStr">
        <is>
          <t>RG - Rohan</t>
        </is>
      </c>
      <c r="J40" s="193" t="inlineStr">
        <is>
          <t>Integrations</t>
        </is>
      </c>
      <c r="K40" s="234" t="inlineStr">
        <is>
          <t>IN PROGRESS</t>
        </is>
      </c>
    </row>
    <row r="42" ht="15" customHeight="1" s="186">
      <c r="A42" s="260" t="inlineStr">
        <is>
          <t>SPRINT 2.8 PLANNED</t>
        </is>
      </c>
    </row>
    <row r="43" ht="15" customHeight="1" s="186">
      <c r="A43" s="185" t="inlineStr">
        <is>
          <t>authProvider</t>
        </is>
      </c>
      <c r="B43" s="185" t="inlineStr">
        <is>
          <t>auth_providers</t>
        </is>
      </c>
      <c r="C43" s="185" t="inlineStr">
        <is>
          <t>AuthProvider</t>
        </is>
      </c>
      <c r="D43" s="185" t="inlineStr">
        <is>
          <t>PLANNED</t>
        </is>
      </c>
      <c r="E43" s="185" t="inlineStr">
        <is>
          <t>provider, type (auth0/clerk/cognito/firebase), config, enabled, tenant_scope</t>
        </is>
      </c>
      <c r="F43" s="185" t="inlineStr">
        <is>
          <t>P1</t>
        </is>
      </c>
      <c r="G43" s="185" t="inlineStr">
        <is>
          <t>Sprint 2.8 - Auth provider registry</t>
        </is>
      </c>
      <c r="H43" s="185" t="inlineStr">
        <is>
          <t>☐</t>
        </is>
      </c>
    </row>
    <row r="44" ht="15" customHeight="1" s="186">
      <c r="A44" s="185" t="inlineStr">
        <is>
          <t>authSession</t>
        </is>
      </c>
      <c r="B44" s="185" t="inlineStr">
        <is>
          <t>auth_sessions</t>
        </is>
      </c>
      <c r="C44" s="185" t="inlineStr">
        <is>
          <t>AuthSession</t>
        </is>
      </c>
      <c r="D44" s="185" t="inlineStr">
        <is>
          <t>PLANNED</t>
        </is>
      </c>
      <c r="E44" s="185" t="inlineStr">
        <is>
          <t>userId, provider, externalId, accessToken, refreshToken, expiresAt, metadata</t>
        </is>
      </c>
      <c r="F44" s="185" t="inlineStr">
        <is>
          <t>P1</t>
        </is>
      </c>
      <c r="G44" s="185" t="inlineStr">
        <is>
          <t>Sprint 2.8 - External auth sessions</t>
        </is>
      </c>
      <c r="H44" s="185" t="inlineStr">
        <is>
          <t>☐</t>
        </is>
      </c>
    </row>
    <row r="45" ht="15" customHeight="1" s="186">
      <c r="A45" s="185" t="inlineStr">
        <is>
          <t>platformAdmin</t>
        </is>
      </c>
      <c r="B45" s="185" t="inlineStr">
        <is>
          <t>platform_admins</t>
        </is>
      </c>
      <c r="C45" s="185" t="inlineStr">
        <is>
          <t>PlatformAdmin</t>
        </is>
      </c>
      <c r="D45" s="185" t="inlineStr">
        <is>
          <t>PLANNED</t>
        </is>
      </c>
      <c r="E45" s="185" t="inlineStr">
        <is>
          <t>email, role (super/admin/support), permissions, lastLogin, mfaEnabled</t>
        </is>
      </c>
      <c r="F45" s="185" t="inlineStr">
        <is>
          <t>P1</t>
        </is>
      </c>
      <c r="G45" s="185" t="inlineStr">
        <is>
          <t>Sprint 2.8 - Platform admin panel</t>
        </is>
      </c>
      <c r="H45" s="185" t="inlineStr">
        <is>
          <t>☐</t>
        </is>
      </c>
    </row>
    <row r="46" ht="15" customHeight="1" s="186">
      <c r="A46" s="185" t="inlineStr">
        <is>
          <t>posConfig</t>
        </is>
      </c>
      <c r="B46" s="185" t="inlineStr">
        <is>
          <t>pos_configs</t>
        </is>
      </c>
      <c r="C46" s="185" t="inlineStr">
        <is>
          <t>POSConfig</t>
        </is>
      </c>
      <c r="D46" s="185" t="inlineStr">
        <is>
          <t>PLANNED</t>
        </is>
      </c>
      <c r="E46" s="185" t="inlineStr">
        <is>
          <t>shopId, formSchema, checkoutRules, shippingProfileRef</t>
        </is>
      </c>
      <c r="F46" s="185" t="inlineStr">
        <is>
          <t>P2</t>
        </is>
      </c>
      <c r="G46" s="185" t="inlineStr">
        <is>
          <t>Sprint 2.8 - POS integration</t>
        </is>
      </c>
      <c r="H46" s="185" t="inlineStr">
        <is>
          <t>☐</t>
        </is>
      </c>
    </row>
  </sheetData>
  <autoFilter ref="A1:K40"/>
  <dataValidations count="3">
    <dataValidation sqref="H2:H40" showDropDown="0" showInputMessage="0" showErrorMessage="0" allowBlank="1" errorTitle="Invalid" error="Use ☐ or ☑" type="list" errorStyle="stop" operator="between">
      <formula1>"☐,☑"</formula1>
      <formula2>0</formula2>
    </dataValidation>
    <dataValidation sqref="I2:I40" showDropDown="0" showInputMessage="0" showErrorMessage="0" allowBlank="1" type="list" errorStyle="stop" operator="between">
      <formula1>"AR,PK,VS,NK,DM,SP,RG,AM,KS,PAIR,ALL"</formula1>
      <formula2>0</formula2>
    </dataValidation>
    <dataValidation sqref="K2:K40" showDropDown="0" showInputMessage="0" showErrorMessage="0" allowBlank="1" type="list" errorStyle="stop" operator="between">
      <formula1>"NOT STARTED,IN PROGRESS,IN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FACC15"/>
    <outlinePr summaryBelow="1" summaryRight="1"/>
    <pageSetUpPr fitToPage="0"/>
  </sheetPr>
  <dimension ref="A1:J5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1" activePane="bottomLeft" state="frozen"/>
      <selection pane="topLeft" activeCell="A1" activeCellId="0" sqref="A1"/>
      <selection pane="bottomLeft" activeCell="A1" activeCellId="0" sqref="A1"/>
    </sheetView>
  </sheetViews>
  <sheetFormatPr baseColWidth="8" defaultColWidth="8.66796875" defaultRowHeight="15" customHeight="1" zeroHeight="0" outlineLevelRow="0"/>
  <cols>
    <col width="25" customWidth="1" style="185" min="1" max="1"/>
    <col width="40" customWidth="1" style="185" min="2" max="2"/>
    <col width="22" customWidth="1" style="185" min="3" max="3"/>
    <col width="12" customWidth="1" style="185" min="4" max="4"/>
    <col width="65" customWidth="1" style="185" min="5" max="5"/>
    <col width="8" customWidth="1" style="185" min="6" max="6"/>
    <col width="7" customWidth="1" style="185" min="7" max="7"/>
    <col width="18" customWidth="1" style="185" min="8" max="8"/>
    <col width="16" customWidth="1" style="185" min="9" max="10"/>
  </cols>
  <sheetData>
    <row r="1" ht="26.25" customHeight="1" s="186">
      <c r="A1" s="189" t="inlineStr">
        <is>
          <t>Feature Area</t>
        </is>
      </c>
      <c r="B1" s="189" t="inlineStr">
        <is>
          <t>Old Frontend Page(s)</t>
        </is>
      </c>
      <c r="C1" s="189" t="inlineStr">
        <is>
          <t>New Dashboard Page</t>
        </is>
      </c>
      <c r="D1" s="189" t="inlineStr">
        <is>
          <t>Status</t>
        </is>
      </c>
      <c r="E1" s="189" t="inlineStr">
        <is>
          <t>Missing Capabilities</t>
        </is>
      </c>
      <c r="F1" s="189" t="inlineStr">
        <is>
          <t>Priority</t>
        </is>
      </c>
      <c r="G1" s="189" t="inlineStr">
        <is>
          <t>Done</t>
        </is>
      </c>
      <c r="H1" s="189" t="inlineStr">
        <is>
          <t>Assignee</t>
        </is>
      </c>
      <c r="I1" s="189" t="inlineStr">
        <is>
          <t>Squad</t>
        </is>
      </c>
      <c r="J1" s="189" t="inlineStr">
        <is>
          <t>Work Status</t>
        </is>
      </c>
    </row>
    <row r="2" ht="23.25" customHeight="1" s="186">
      <c r="A2" s="222" t="inlineStr">
        <is>
          <t>Dashboard / Home</t>
        </is>
      </c>
      <c r="B2" s="222" t="inlineStr">
        <is>
          <t>home/index.js + fullAnalytics</t>
        </is>
      </c>
      <c r="C2" s="222" t="inlineStr">
        <is>
          <t>/</t>
        </is>
      </c>
      <c r="D2" s="223" t="inlineStr">
        <is>
          <t>EXISTS</t>
        </is>
      </c>
      <c r="E2" s="222" t="inlineStr">
        <is>
          <t>Real-time sync status, data syncing banner, video tutorials, Polaris Viz charts, feature timeline</t>
        </is>
      </c>
      <c r="F2" s="223" t="inlineStr">
        <is>
          <t>P1</t>
        </is>
      </c>
      <c r="G2" s="225" t="inlineStr">
        <is>
          <t>☑</t>
        </is>
      </c>
      <c r="H2" s="261" t="inlineStr">
        <is>
          <t>NK - Neha</t>
        </is>
      </c>
      <c r="I2" s="227" t="inlineStr">
        <is>
          <t>Frontend</t>
        </is>
      </c>
      <c r="J2" s="228" t="inlineStr">
        <is>
          <t>DONE</t>
        </is>
      </c>
    </row>
    <row r="3" ht="23.25" customHeight="1" s="186">
      <c r="A3" s="222" t="inlineStr">
        <is>
          <t>Orders List</t>
        </is>
      </c>
      <c r="B3" s="222" t="inlineStr">
        <is>
          <t>orders/index.js</t>
        </is>
      </c>
      <c r="C3" s="222" t="inlineStr">
        <is>
          <t>/orders + /orders/create + /orders/[id] + /orders/bulk + /orders/import</t>
        </is>
      </c>
      <c r="D3" s="223" t="inlineStr">
        <is>
          <t>EXISTS</t>
        </is>
      </c>
      <c r="E3" s="222" t="inlineStr">
        <is>
          <t>Map view (Leaflet), CSV import modal, bulk actions, advanced filter presets, saved views</t>
        </is>
      </c>
      <c r="F3" s="224" t="inlineStr">
        <is>
          <t>P0</t>
        </is>
      </c>
      <c r="G3" s="225" t="inlineStr">
        <is>
          <t>☑</t>
        </is>
      </c>
      <c r="H3" s="262" t="inlineStr">
        <is>
          <t>DM - Dev</t>
        </is>
      </c>
      <c r="I3" s="227" t="inlineStr">
        <is>
          <t>Frontend</t>
        </is>
      </c>
      <c r="J3" s="229" t="inlineStr">
        <is>
          <t>DONE</t>
        </is>
      </c>
    </row>
    <row r="4" ht="23.25" customHeight="1" s="186">
      <c r="A4" s="222" t="inlineStr">
        <is>
          <t>Order Creation</t>
        </is>
      </c>
      <c r="B4" s="222" t="inlineStr">
        <is>
          <t>create-order/index.js</t>
        </is>
      </c>
      <c r="C4" s="222" t="inlineStr">
        <is>
          <t>/orders/create</t>
        </is>
      </c>
      <c r="D4" s="224" t="inlineStr">
        <is>
          <t>EXISTS</t>
        </is>
      </c>
      <c r="E4" s="222" t="inlineStr">
        <is>
          <t>Manual order creation form: customer details, line items, address, time slot, payment method, notes</t>
        </is>
      </c>
      <c r="F4" s="224" t="inlineStr">
        <is>
          <t>P0</t>
        </is>
      </c>
      <c r="G4" s="225" t="inlineStr">
        <is>
          <t>☑</t>
        </is>
      </c>
      <c r="H4" s="262" t="inlineStr">
        <is>
          <t>DM - Dev</t>
        </is>
      </c>
      <c r="I4" s="227" t="inlineStr">
        <is>
          <t>Frontend</t>
        </is>
      </c>
      <c r="J4" s="229" t="inlineStr">
        <is>
          <t>DONE</t>
        </is>
      </c>
    </row>
    <row r="5" ht="23.25" customHeight="1" s="186">
      <c r="A5" s="222" t="inlineStr">
        <is>
          <t>Order Details</t>
        </is>
      </c>
      <c r="B5" s="222" t="inlineStr">
        <is>
          <t>order-details/[...slug].js</t>
        </is>
      </c>
      <c r="C5" s="222" t="inlineStr">
        <is>
          <t>/orders/[id]</t>
        </is>
      </c>
      <c r="D5" s="223" t="inlineStr">
        <is>
          <t>EXISTS</t>
        </is>
      </c>
      <c r="E5" s="222" t="inlineStr">
        <is>
          <t>Full page view, shipment-in-order view, price breakdown, order tags editor, fulfillment actions, refund actions</t>
        </is>
      </c>
      <c r="F5" s="224" t="inlineStr">
        <is>
          <t>P0</t>
        </is>
      </c>
      <c r="G5" s="225" t="inlineStr">
        <is>
          <t>☑</t>
        </is>
      </c>
      <c r="H5" s="262" t="inlineStr">
        <is>
          <t>DM - Dev</t>
        </is>
      </c>
      <c r="I5" s="227" t="inlineStr">
        <is>
          <t>Frontend</t>
        </is>
      </c>
      <c r="J5" s="229" t="inlineStr">
        <is>
          <t>DONE</t>
        </is>
      </c>
    </row>
    <row r="6" ht="34.5" customHeight="1" s="186">
      <c r="A6" s="222" t="inlineStr">
        <is>
          <t>Shipments List</t>
        </is>
      </c>
      <c r="B6" s="222" t="inlineStr">
        <is>
          <t>shipments/index.js + local-delivery/shipments + store-pickup/shipments + standard-delivery/shipments</t>
        </is>
      </c>
      <c r="C6" s="222" t="inlineStr">
        <is>
          <t>/shipments</t>
        </is>
      </c>
      <c r="D6" s="224" t="inlineStr">
        <is>
          <t>EXISTS</t>
        </is>
      </c>
      <c r="E6" s="222" t="inlineStr">
        <is>
          <t>Entire shipment management: list, filters, map view, status tracking, bulk operations, multi-delivery-method views</t>
        </is>
      </c>
      <c r="F6" s="224" t="inlineStr">
        <is>
          <t>P0</t>
        </is>
      </c>
      <c r="G6" s="225" t="inlineStr">
        <is>
          <t>☑</t>
        </is>
      </c>
      <c r="H6" s="262" t="inlineStr">
        <is>
          <t>DM - Dev</t>
        </is>
      </c>
      <c r="I6" s="227" t="inlineStr">
        <is>
          <t>Frontend</t>
        </is>
      </c>
      <c r="J6" s="229" t="inlineStr">
        <is>
          <t>DONE</t>
        </is>
      </c>
    </row>
    <row r="7" ht="23.25" customHeight="1" s="186">
      <c r="A7" s="196" t="inlineStr">
        <is>
          <t>Shipment Details</t>
        </is>
      </c>
      <c r="B7" s="196" t="inlineStr">
        <is>
          <t>shipment-details/index.js + variants</t>
        </is>
      </c>
      <c r="C7" s="196" t="inlineStr">
        <is>
          <t>—</t>
        </is>
      </c>
      <c r="D7" s="230" t="inlineStr">
        <is>
          <t>EXISTS</t>
        </is>
      </c>
      <c r="E7" s="196" t="inlineStr">
        <is>
          <t>Full shipment detail: items, price breakdown, documents/POD, tracking notes, SMS confirmation, payment transactions, more actions | Sprint 2.4 - Shipment detail page</t>
        </is>
      </c>
      <c r="F7" s="247" t="inlineStr">
        <is>
          <t>P0</t>
        </is>
      </c>
      <c r="G7" s="232" t="inlineStr">
        <is>
          <t>☑</t>
        </is>
      </c>
      <c r="H7" s="263" t="inlineStr">
        <is>
          <t>DM - Dev</t>
        </is>
      </c>
      <c r="I7" s="197" t="inlineStr">
        <is>
          <t>Frontend</t>
        </is>
      </c>
      <c r="J7" s="238" t="inlineStr">
        <is>
          <t>DONE</t>
        </is>
      </c>
    </row>
    <row r="8" ht="15" customHeight="1" s="186">
      <c r="A8" s="192" t="inlineStr">
        <is>
          <t>Local Delivery Orders</t>
        </is>
      </c>
      <c r="B8" s="192" t="inlineStr">
        <is>
          <t>local-delivery/orders/index.js</t>
        </is>
      </c>
      <c r="C8" s="192" t="inlineStr">
        <is>
          <t>/orders/local</t>
        </is>
      </c>
      <c r="D8" s="230" t="inlineStr">
        <is>
          <t>EXISTS</t>
        </is>
      </c>
      <c r="E8" s="192" t="inlineStr">
        <is>
          <t>Delivery-method-specific order views with method-specific filters and actions</t>
        </is>
      </c>
      <c r="F8" s="254" t="inlineStr">
        <is>
          <t>P1</t>
        </is>
      </c>
      <c r="G8" s="232" t="inlineStr">
        <is>
          <t>☑</t>
        </is>
      </c>
      <c r="H8" s="264" t="inlineStr">
        <is>
          <t>DM - Dev</t>
        </is>
      </c>
      <c r="I8" s="193" t="inlineStr">
        <is>
          <t>Frontend</t>
        </is>
      </c>
      <c r="J8" s="246" t="inlineStr">
        <is>
          <t>DONE</t>
        </is>
      </c>
    </row>
    <row r="9" ht="15" customHeight="1" s="186">
      <c r="A9" s="196" t="inlineStr">
        <is>
          <t>Store Pickup</t>
        </is>
      </c>
      <c r="B9" s="196" t="inlineStr">
        <is>
          <t>store-pickup/* (4 pages)</t>
        </is>
      </c>
      <c r="C9" s="196" t="inlineStr">
        <is>
          <t>—</t>
        </is>
      </c>
      <c r="D9" s="230" t="inlineStr">
        <is>
          <t>EXISTS</t>
        </is>
      </c>
      <c r="E9" s="196" t="inlineStr">
        <is>
          <t>Store pickup workflow: orders, shipments, details, ready-for-pickup actions | Sprint 2.4 - Multi-store management</t>
        </is>
      </c>
      <c r="F9" s="236" t="inlineStr">
        <is>
          <t>P1</t>
        </is>
      </c>
      <c r="G9" s="232" t="inlineStr">
        <is>
          <t>☑</t>
        </is>
      </c>
      <c r="H9" s="263" t="inlineStr">
        <is>
          <t>DM - Dev</t>
        </is>
      </c>
      <c r="I9" s="197" t="inlineStr">
        <is>
          <t>Frontend</t>
        </is>
      </c>
      <c r="J9" s="238" t="inlineStr">
        <is>
          <t>DONE</t>
        </is>
      </c>
    </row>
    <row r="10" ht="15" customHeight="1" s="186">
      <c r="A10" s="192" t="inlineStr">
        <is>
          <t>Standard Delivery</t>
        </is>
      </c>
      <c r="B10" s="192" t="inlineStr">
        <is>
          <t>standard-delivery/* (4 pages)</t>
        </is>
      </c>
      <c r="C10" s="192" t="inlineStr">
        <is>
          <t>—</t>
        </is>
      </c>
      <c r="D10" s="230" t="inlineStr">
        <is>
          <t>MISSING</t>
        </is>
      </c>
      <c r="E10" s="192" t="inlineStr">
        <is>
          <t>Standard shipping workflow: orders, shipments, details, carrier assignment</t>
        </is>
      </c>
      <c r="F10" s="254" t="inlineStr">
        <is>
          <t>P1</t>
        </is>
      </c>
      <c r="G10" s="232" t="inlineStr">
        <is>
          <t>☐</t>
        </is>
      </c>
      <c r="H10" s="264" t="inlineStr">
        <is>
          <t>DM - Dev</t>
        </is>
      </c>
      <c r="I10" s="193" t="inlineStr">
        <is>
          <t>Frontend</t>
        </is>
      </c>
      <c r="J10" s="234" t="inlineStr">
        <is>
          <t>NOT STARTED</t>
        </is>
      </c>
    </row>
    <row r="11" ht="23.25" customHeight="1" s="186">
      <c r="A11" s="222" t="inlineStr">
        <is>
          <t>Routes List</t>
        </is>
      </c>
      <c r="B11" s="222" t="inlineStr">
        <is>
          <t>local-delivery/routes/index.js + routes/index.js</t>
        </is>
      </c>
      <c r="C11" s="222" t="inlineStr">
        <is>
          <t>/routes + /routes/create + /routes/[id] + /routes/[id]/edit</t>
        </is>
      </c>
      <c r="D11" s="223" t="inlineStr">
        <is>
          <t>EXISTS</t>
        </is>
      </c>
      <c r="E11" s="222" t="inlineStr">
        <is>
          <t>Route table pagination, search, timeline view, shipping label printing (4x6), CSV export, route claiming</t>
        </is>
      </c>
      <c r="F11" s="224" t="inlineStr">
        <is>
          <t>P0</t>
        </is>
      </c>
      <c r="G11" s="225" t="inlineStr">
        <is>
          <t>☑</t>
        </is>
      </c>
      <c r="H11" s="261" t="inlineStr">
        <is>
          <t>NK - Neha</t>
        </is>
      </c>
      <c r="I11" s="227" t="inlineStr">
        <is>
          <t>Frontend</t>
        </is>
      </c>
      <c r="J11" s="228" t="inlineStr">
        <is>
          <t>DONE</t>
        </is>
      </c>
    </row>
    <row r="12" ht="23.25" customHeight="1" s="186">
      <c r="A12" s="222" t="inlineStr">
        <is>
          <t>Route Create</t>
        </is>
      </c>
      <c r="B12" s="222" t="inlineStr">
        <is>
          <t>routes/create/index.js</t>
        </is>
      </c>
      <c r="C12" s="222" t="inlineStr">
        <is>
          <t>/routes/create</t>
        </is>
      </c>
      <c r="D12" s="224" t="inlineStr">
        <is>
          <t>EXISTS</t>
        </is>
      </c>
      <c r="E12" s="222" t="inlineStr">
        <is>
          <t>Route creation wizard: select shipments, assign driver, set start/end location, drag-and-drop ordering, map preview</t>
        </is>
      </c>
      <c r="F12" s="224" t="inlineStr">
        <is>
          <t>P0</t>
        </is>
      </c>
      <c r="G12" s="225" t="inlineStr">
        <is>
          <t>☑</t>
        </is>
      </c>
      <c r="H12" s="262" t="inlineStr">
        <is>
          <t>DM - Dev</t>
        </is>
      </c>
      <c r="I12" s="227" t="inlineStr">
        <is>
          <t>Frontend</t>
        </is>
      </c>
      <c r="J12" s="229" t="inlineStr">
        <is>
          <t>DONE</t>
        </is>
      </c>
    </row>
    <row r="13" ht="23.25" customHeight="1" s="186">
      <c r="A13" s="222" t="inlineStr">
        <is>
          <t>Route Edit</t>
        </is>
      </c>
      <c r="B13" s="222" t="inlineStr">
        <is>
          <t>routes/edit/index.js</t>
        </is>
      </c>
      <c r="C13" s="222" t="inlineStr">
        <is>
          <t>/routes/[id]/edit</t>
        </is>
      </c>
      <c r="D13" s="224" t="inlineStr">
        <is>
          <t>EXISTS</t>
        </is>
      </c>
      <c r="E13" s="222" t="inlineStr">
        <is>
          <t>Route editing: reorder stops, add/remove shipments, re-optimize, map directions view</t>
        </is>
      </c>
      <c r="F13" s="224" t="inlineStr">
        <is>
          <t>P0</t>
        </is>
      </c>
      <c r="G13" s="225" t="inlineStr">
        <is>
          <t>☑</t>
        </is>
      </c>
      <c r="H13" s="262" t="inlineStr">
        <is>
          <t>DM - Dev</t>
        </is>
      </c>
      <c r="I13" s="227" t="inlineStr">
        <is>
          <t>Frontend</t>
        </is>
      </c>
      <c r="J13" s="229" t="inlineStr">
        <is>
          <t>DONE</t>
        </is>
      </c>
    </row>
    <row r="14" ht="15" customHeight="1" s="186">
      <c r="A14" s="192" t="inlineStr">
        <is>
          <t>Add to Route</t>
        </is>
      </c>
      <c r="B14" s="192" t="inlineStr">
        <is>
          <t>routes/add-to-route/index.js</t>
        </is>
      </c>
      <c r="C14" s="192" t="inlineStr">
        <is>
          <t>/routes/[id]/assign</t>
        </is>
      </c>
      <c r="D14" s="230" t="inlineStr">
        <is>
          <t>EXISTS</t>
        </is>
      </c>
      <c r="E14" s="192" t="inlineStr">
        <is>
          <t>Shipment-to-route assignment flow</t>
        </is>
      </c>
      <c r="F14" s="254" t="inlineStr">
        <is>
          <t>P1</t>
        </is>
      </c>
      <c r="G14" s="232" t="inlineStr">
        <is>
          <t>☑</t>
        </is>
      </c>
      <c r="H14" s="264" t="inlineStr">
        <is>
          <t>DM - Dev</t>
        </is>
      </c>
      <c r="I14" s="193" t="inlineStr">
        <is>
          <t>Frontend</t>
        </is>
      </c>
      <c r="J14" s="246" t="inlineStr">
        <is>
          <t>DONE</t>
        </is>
      </c>
    </row>
    <row r="15" ht="23.25" customHeight="1" s="186">
      <c r="A15" s="222" t="inlineStr">
        <is>
          <t>Drivers</t>
        </is>
      </c>
      <c r="B15" s="222" t="inlineStr">
        <is>
          <t>— (managed via users)</t>
        </is>
      </c>
      <c r="C15" s="222" t="inlineStr">
        <is>
          <t>/drivers</t>
        </is>
      </c>
      <c r="D15" s="223" t="inlineStr">
        <is>
          <t>EXISTS</t>
        </is>
      </c>
      <c r="E15" s="222" t="inlineStr">
        <is>
          <t>Driver detail view, assignment history, performance stats, document uploads, FCM token management</t>
        </is>
      </c>
      <c r="F15" s="223" t="inlineStr">
        <is>
          <t>P1</t>
        </is>
      </c>
      <c r="G15" s="225" t="inlineStr">
        <is>
          <t>☑</t>
        </is>
      </c>
      <c r="H15" s="261" t="inlineStr">
        <is>
          <t>NK - Neha</t>
        </is>
      </c>
      <c r="I15" s="227" t="inlineStr">
        <is>
          <t>Frontend</t>
        </is>
      </c>
      <c r="J15" s="228" t="inlineStr">
        <is>
          <t>DONE</t>
        </is>
      </c>
    </row>
    <row r="16" ht="23.25" customHeight="1" s="186">
      <c r="A16" s="222" t="inlineStr">
        <is>
          <t>Delivery Zones</t>
        </is>
      </c>
      <c r="B16" s="222" t="inlineStr">
        <is>
          <t>zones/index.js + zones/create</t>
        </is>
      </c>
      <c r="C16" s="222" t="inlineStr">
        <is>
          <t>/zones</t>
        </is>
      </c>
      <c r="D16" s="223" t="inlineStr">
        <is>
          <t>EXISTS</t>
        </is>
      </c>
      <c r="E16" s="222" t="inlineStr">
        <is>
          <t>Zone map drawing (Leaflet Draw), polygon boundary editing, zone-to-location association</t>
        </is>
      </c>
      <c r="F16" s="224" t="inlineStr">
        <is>
          <t>P0</t>
        </is>
      </c>
      <c r="G16" s="225" t="inlineStr">
        <is>
          <t>☑</t>
        </is>
      </c>
      <c r="H16" s="262" t="inlineStr">
        <is>
          <t>DM - Dev</t>
        </is>
      </c>
      <c r="I16" s="227" t="inlineStr">
        <is>
          <t>Frontend</t>
        </is>
      </c>
      <c r="J16" s="229" t="inlineStr">
        <is>
          <t>DONE</t>
        </is>
      </c>
    </row>
    <row r="17" ht="23.25" customHeight="1" s="186">
      <c r="A17" s="222" t="inlineStr">
        <is>
          <t>Time Slots</t>
        </is>
      </c>
      <c r="B17" s="222" t="inlineStr">
        <is>
          <t>— (part of shipping profile)</t>
        </is>
      </c>
      <c r="C17" s="222" t="inlineStr">
        <is>
          <t>/time-slots</t>
        </is>
      </c>
      <c r="D17" s="223" t="inlineStr">
        <is>
          <t>EXISTS</t>
        </is>
      </c>
      <c r="E17" s="222" t="inlineStr">
        <is>
          <t>Capacity usage tracking, zone-specific slots, calendar visualization, cutoff time rules</t>
        </is>
      </c>
      <c r="F17" s="223" t="inlineStr">
        <is>
          <t>P1</t>
        </is>
      </c>
      <c r="G17" s="225" t="inlineStr">
        <is>
          <t>☑</t>
        </is>
      </c>
      <c r="H17" s="261" t="inlineStr">
        <is>
          <t>NK - Neha</t>
        </is>
      </c>
      <c r="I17" s="227" t="inlineStr">
        <is>
          <t>Frontend</t>
        </is>
      </c>
      <c r="J17" s="228" t="inlineStr">
        <is>
          <t>DONE</t>
        </is>
      </c>
    </row>
    <row r="18" ht="23.25" customHeight="1" s="186">
      <c r="A18" s="222" t="inlineStr">
        <is>
          <t>Locations</t>
        </is>
      </c>
      <c r="B18" s="222" t="inlineStr">
        <is>
          <t>locations/index.js + create + edit</t>
        </is>
      </c>
      <c r="C18" s="222" t="inlineStr">
        <is>
          <t>/locations</t>
        </is>
      </c>
      <c r="D18" s="224" t="inlineStr">
        <is>
          <t>EXISTS</t>
        </is>
      </c>
      <c r="E18" s="222" t="inlineStr">
        <is>
          <t>Full location management: create/edit/list, working hours, pickup rules, delivery rules, map pin, zone association</t>
        </is>
      </c>
      <c r="F18" s="224" t="inlineStr">
        <is>
          <t>P0</t>
        </is>
      </c>
      <c r="G18" s="225" t="inlineStr">
        <is>
          <t>☑</t>
        </is>
      </c>
      <c r="H18" s="262" t="inlineStr">
        <is>
          <t>DM - Dev</t>
        </is>
      </c>
      <c r="I18" s="227" t="inlineStr">
        <is>
          <t>Frontend</t>
        </is>
      </c>
      <c r="J18" s="229" t="inlineStr">
        <is>
          <t>DONE</t>
        </is>
      </c>
    </row>
    <row r="19" ht="23.25" customHeight="1" s="186">
      <c r="A19" s="196" t="inlineStr">
        <is>
          <t>Shipping Profile</t>
        </is>
      </c>
      <c r="B19" s="196" t="inlineStr">
        <is>
          <t>shipping-profile/index.js + general-profile + edit</t>
        </is>
      </c>
      <c r="C19" s="196" t="inlineStr">
        <is>
          <t>/shipping-profiles + /shipping-profiles/[id]</t>
        </is>
      </c>
      <c r="D19" s="230" t="inlineStr">
        <is>
          <t>EXISTS</t>
        </is>
      </c>
      <c r="E19" s="196" t="inlineStr">
        <is>
          <t>Shipping profile system: rate configuration, location attachment, calendar profiles, delivery method rules</t>
        </is>
      </c>
      <c r="F19" s="247" t="inlineStr">
        <is>
          <t>P0</t>
        </is>
      </c>
      <c r="G19" s="232" t="inlineStr">
        <is>
          <t>☑</t>
        </is>
      </c>
      <c r="H19" s="263" t="inlineStr">
        <is>
          <t>DM - Dev</t>
        </is>
      </c>
      <c r="I19" s="197" t="inlineStr">
        <is>
          <t>Frontend</t>
        </is>
      </c>
      <c r="J19" s="246" t="inlineStr">
        <is>
          <t>DONE</t>
        </is>
      </c>
    </row>
    <row r="20" ht="23.25" customHeight="1" s="186">
      <c r="A20" s="222" t="inlineStr">
        <is>
          <t>Settings</t>
        </is>
      </c>
      <c r="B20" s="222" t="inlineStr">
        <is>
          <t>settings/index.js (8+ tabs)</t>
        </is>
      </c>
      <c r="C20" s="222" t="inlineStr">
        <is>
          <t>/settings (hub + 6 sub-pages)</t>
        </is>
      </c>
      <c r="D20" s="223" t="inlineStr">
        <is>
          <t>EXISTS</t>
        </is>
      </c>
      <c r="E20" s="222" t="inlineStr">
        <is>
          <t>Missing tabs: Inventory, Shopify sync, Webhook config, API keys, POS config, Mobile app config</t>
        </is>
      </c>
      <c r="F20" s="223" t="inlineStr">
        <is>
          <t>P1</t>
        </is>
      </c>
      <c r="G20" s="225" t="inlineStr">
        <is>
          <t>☑</t>
        </is>
      </c>
      <c r="H20" s="261" t="inlineStr">
        <is>
          <t>NK - Neha</t>
        </is>
      </c>
      <c r="I20" s="227" t="inlineStr">
        <is>
          <t>Frontend</t>
        </is>
      </c>
      <c r="J20" s="228" t="inlineStr">
        <is>
          <t>DONE</t>
        </is>
      </c>
    </row>
    <row r="21" ht="23.25" customHeight="1" s="186">
      <c r="A21" s="222" t="inlineStr">
        <is>
          <t>Notifications Config</t>
        </is>
      </c>
      <c r="B21" s="222" t="inlineStr">
        <is>
          <t>notifications/index.js</t>
        </is>
      </c>
      <c r="C21" s="222" t="inlineStr">
        <is>
          <t>/settings/notifications-config</t>
        </is>
      </c>
      <c r="D21" s="223" t="inlineStr">
        <is>
          <t>EXISTS</t>
        </is>
      </c>
      <c r="E21" s="222" t="inlineStr">
        <is>
          <t>Missing: Email template editor (Unlayer), WhatsApp template management, SMS provider config, per-event configuration</t>
        </is>
      </c>
      <c r="F21" s="224" t="inlineStr">
        <is>
          <t>P0</t>
        </is>
      </c>
      <c r="G21" s="225" t="inlineStr">
        <is>
          <t>☑</t>
        </is>
      </c>
      <c r="H21" s="240" t="inlineStr">
        <is>
          <t>SP - Sanya</t>
        </is>
      </c>
      <c r="I21" s="227" t="inlineStr">
        <is>
          <t>Integrations</t>
        </is>
      </c>
      <c r="J21" s="229" t="inlineStr">
        <is>
          <t>DONE</t>
        </is>
      </c>
    </row>
    <row r="22" ht="23.25" customHeight="1" s="186">
      <c r="A22" s="222" t="inlineStr">
        <is>
          <t>Integrations</t>
        </is>
      </c>
      <c r="B22" s="222" t="inlineStr">
        <is>
          <t>— (keys-configuration)</t>
        </is>
      </c>
      <c r="C22" s="222" t="inlineStr">
        <is>
          <t>/integrations</t>
        </is>
      </c>
      <c r="D22" s="223" t="inlineStr">
        <is>
          <t>EXISTS</t>
        </is>
      </c>
      <c r="E22" s="222" t="inlineStr">
        <is>
          <t>Missing: Provider credential forms, OAuth flows, health monitoring, usage metering display</t>
        </is>
      </c>
      <c r="F22" s="223" t="inlineStr">
        <is>
          <t>P1</t>
        </is>
      </c>
      <c r="G22" s="225" t="inlineStr">
        <is>
          <t>☑</t>
        </is>
      </c>
      <c r="H22" s="240" t="inlineStr">
        <is>
          <t>SP - Sanya</t>
        </is>
      </c>
      <c r="I22" s="227" t="inlineStr">
        <is>
          <t>Integrations</t>
        </is>
      </c>
      <c r="J22" s="229" t="inlineStr">
        <is>
          <t>DONE</t>
        </is>
      </c>
    </row>
    <row r="23" ht="23.25" customHeight="1" s="186">
      <c r="A23" s="222" t="inlineStr">
        <is>
          <t>Analytics</t>
        </is>
      </c>
      <c r="B23" s="222" t="inlineStr">
        <is>
          <t>home/fullAnalytics.js</t>
        </is>
      </c>
      <c r="C23" s="222" t="inlineStr">
        <is>
          <t>/analytics</t>
        </is>
      </c>
      <c r="D23" s="223" t="inlineStr">
        <is>
          <t>EXISTS</t>
        </is>
      </c>
      <c r="E23" s="222" t="inlineStr">
        <is>
          <t>Missing: Date range picker, order/shipment/inventory breakdown, sync status, Polaris Viz charts, export to CSV</t>
        </is>
      </c>
      <c r="F23" s="223" t="inlineStr">
        <is>
          <t>P1</t>
        </is>
      </c>
      <c r="G23" s="225" t="inlineStr">
        <is>
          <t>☑</t>
        </is>
      </c>
      <c r="H23" s="261" t="inlineStr">
        <is>
          <t>NK - Neha</t>
        </is>
      </c>
      <c r="I23" s="227" t="inlineStr">
        <is>
          <t>Frontend</t>
        </is>
      </c>
      <c r="J23" s="228" t="inlineStr">
        <is>
          <t>DONE</t>
        </is>
      </c>
    </row>
    <row r="24" ht="15" customHeight="1" s="186">
      <c r="A24" s="222" t="inlineStr">
        <is>
          <t>User Management</t>
        </is>
      </c>
      <c r="B24" s="222" t="inlineStr">
        <is>
          <t>users/index.js</t>
        </is>
      </c>
      <c r="C24" s="222" t="inlineStr">
        <is>
          <t>/settings/team</t>
        </is>
      </c>
      <c r="D24" s="223" t="inlineStr">
        <is>
          <t>EXISTS</t>
        </is>
      </c>
      <c r="E24" s="222" t="inlineStr">
        <is>
          <t>Missing: Invite flow, role assignment, permission matrix, activity log per user</t>
        </is>
      </c>
      <c r="F24" s="223" t="inlineStr">
        <is>
          <t>P1</t>
        </is>
      </c>
      <c r="G24" s="225" t="inlineStr">
        <is>
          <t>☑</t>
        </is>
      </c>
      <c r="H24" s="261" t="inlineStr">
        <is>
          <t>NK - Neha</t>
        </is>
      </c>
      <c r="I24" s="227" t="inlineStr">
        <is>
          <t>Frontend</t>
        </is>
      </c>
      <c r="J24" s="229" t="inlineStr">
        <is>
          <t>DONE</t>
        </is>
      </c>
    </row>
    <row r="25" ht="23.25" customHeight="1" s="186">
      <c r="A25" s="222" t="inlineStr">
        <is>
          <t>Profile</t>
        </is>
      </c>
      <c r="B25" s="222" t="inlineStr">
        <is>
          <t>profile/index.js</t>
        </is>
      </c>
      <c r="C25" s="222" t="inlineStr">
        <is>
          <t>/profile</t>
        </is>
      </c>
      <c r="D25" s="224" t="inlineStr">
        <is>
          <t>EXISTS</t>
        </is>
      </c>
      <c r="E25" s="222" t="inlineStr">
        <is>
          <t>User profile: avatar, personal info, password change, notification preferences, timezone, language</t>
        </is>
      </c>
      <c r="F25" s="239" t="inlineStr">
        <is>
          <t>P2</t>
        </is>
      </c>
      <c r="G25" s="225" t="inlineStr">
        <is>
          <t>☑</t>
        </is>
      </c>
      <c r="H25" s="261" t="inlineStr">
        <is>
          <t>NK - Neha</t>
        </is>
      </c>
      <c r="I25" s="227" t="inlineStr">
        <is>
          <t>Frontend</t>
        </is>
      </c>
      <c r="J25" s="229" t="inlineStr">
        <is>
          <t>DONE</t>
        </is>
      </c>
    </row>
    <row r="26" ht="15" customHeight="1" s="186">
      <c r="A26" s="222" t="inlineStr">
        <is>
          <t>Login / Auth</t>
        </is>
      </c>
      <c r="B26" s="222" t="inlineStr">
        <is>
          <t>login.js + join.js + reset-password.js</t>
        </is>
      </c>
      <c r="C26" s="222" t="inlineStr">
        <is>
          <t>/(auth)/login + register + forgot-password</t>
        </is>
      </c>
      <c r="D26" s="224" t="inlineStr">
        <is>
          <t>EXISTS</t>
        </is>
      </c>
      <c r="E26" s="222" t="inlineStr">
        <is>
          <t>Authentication pages: login, registration, password reset, email verification</t>
        </is>
      </c>
      <c r="F26" s="224" t="inlineStr">
        <is>
          <t>P0</t>
        </is>
      </c>
      <c r="G26" s="225" t="inlineStr">
        <is>
          <t>☑</t>
        </is>
      </c>
      <c r="H26" s="261" t="inlineStr">
        <is>
          <t>NK - Neha</t>
        </is>
      </c>
      <c r="I26" s="227" t="inlineStr">
        <is>
          <t>Frontend</t>
        </is>
      </c>
      <c r="J26" s="229" t="inlineStr">
        <is>
          <t>DONE</t>
        </is>
      </c>
    </row>
    <row r="27" ht="23.25" customHeight="1" s="186">
      <c r="A27" s="222" t="inlineStr">
        <is>
          <t>Onboarding</t>
        </is>
      </c>
      <c r="B27" s="222" t="inlineStr">
        <is>
          <t>onboarding/* (5 pages)</t>
        </is>
      </c>
      <c r="C27" s="222" t="inlineStr">
        <is>
          <t>/onboarding</t>
        </is>
      </c>
      <c r="D27" s="224" t="inlineStr">
        <is>
          <t>EXISTS</t>
        </is>
      </c>
      <c r="E27" s="222" t="inlineStr">
        <is>
          <t>Multi-step onboarding: cart plugin setup, shipping location, plan selection, fleet info, working hours</t>
        </is>
      </c>
      <c r="F27" s="223" t="inlineStr">
        <is>
          <t>P1</t>
        </is>
      </c>
      <c r="G27" s="225" t="inlineStr">
        <is>
          <t>☑</t>
        </is>
      </c>
      <c r="H27" s="261" t="inlineStr">
        <is>
          <t>NK - Neha</t>
        </is>
      </c>
      <c r="I27" s="227" t="inlineStr">
        <is>
          <t>Frontend</t>
        </is>
      </c>
      <c r="J27" s="229" t="inlineStr">
        <is>
          <t>DONE</t>
        </is>
      </c>
    </row>
    <row r="28" ht="15" customHeight="1" s="186">
      <c r="A28" s="222" t="inlineStr">
        <is>
          <t>Plans / Billing</t>
        </is>
      </c>
      <c r="B28" s="222" t="inlineStr">
        <is>
          <t>plans/index.js</t>
        </is>
      </c>
      <c r="C28" s="222" t="inlineStr">
        <is>
          <t>/settings/billing</t>
        </is>
      </c>
      <c r="D28" s="224" t="inlineStr">
        <is>
          <t>EXISTS</t>
        </is>
      </c>
      <c r="E28" s="222" t="inlineStr">
        <is>
          <t>Plan display, upgrade/downgrade flow, usage meters, invoice history</t>
        </is>
      </c>
      <c r="F28" s="223" t="inlineStr">
        <is>
          <t>P1</t>
        </is>
      </c>
      <c r="G28" s="225" t="inlineStr">
        <is>
          <t>☑</t>
        </is>
      </c>
      <c r="H28" s="257" t="inlineStr">
        <is>
          <t>RG - Rohan</t>
        </is>
      </c>
      <c r="I28" s="227" t="inlineStr">
        <is>
          <t>Integrations</t>
        </is>
      </c>
      <c r="J28" s="229" t="inlineStr">
        <is>
          <t>DONE</t>
        </is>
      </c>
    </row>
    <row r="29" ht="15" customHeight="1" s="186">
      <c r="A29" s="222" t="inlineStr">
        <is>
          <t>Payment Transactions</t>
        </is>
      </c>
      <c r="B29" s="222" t="inlineStr">
        <is>
          <t>payment-transactions/index.js</t>
        </is>
      </c>
      <c r="C29" s="222" t="inlineStr">
        <is>
          <t>/payments</t>
        </is>
      </c>
      <c r="D29" s="224" t="inlineStr">
        <is>
          <t>EXISTS</t>
        </is>
      </c>
      <c r="E29" s="222" t="inlineStr">
        <is>
          <t>Transaction history, COD reconciliation, refund tracking</t>
        </is>
      </c>
      <c r="F29" s="239" t="inlineStr">
        <is>
          <t>P2</t>
        </is>
      </c>
      <c r="G29" s="225" t="inlineStr">
        <is>
          <t>☑</t>
        </is>
      </c>
      <c r="H29" s="257" t="inlineStr">
        <is>
          <t>RG - Rohan</t>
        </is>
      </c>
      <c r="I29" s="227" t="inlineStr">
        <is>
          <t>Integrations</t>
        </is>
      </c>
      <c r="J29" s="229" t="inlineStr">
        <is>
          <t>DONE</t>
        </is>
      </c>
    </row>
    <row r="30" ht="15" customHeight="1" s="186">
      <c r="A30" s="192" t="inlineStr">
        <is>
          <t>Tracking Config</t>
        </is>
      </c>
      <c r="B30" s="192" t="inlineStr">
        <is>
          <t>tracking/index.js</t>
        </is>
      </c>
      <c r="C30" s="192" t="inlineStr">
        <is>
          <t>—</t>
        </is>
      </c>
      <c r="D30" s="230" t="inlineStr">
        <is>
          <t>EXISTS</t>
        </is>
      </c>
      <c r="E30" s="192" t="inlineStr">
        <is>
          <t>Customer tracking page builder: branding, layout, status messages | Sprint 2.4 - Tracking page config</t>
        </is>
      </c>
      <c r="F30" s="250" t="inlineStr">
        <is>
          <t>P2</t>
        </is>
      </c>
      <c r="G30" s="232" t="inlineStr">
        <is>
          <t>☑</t>
        </is>
      </c>
      <c r="H30" s="255" t="inlineStr">
        <is>
          <t>RG - Rohan</t>
        </is>
      </c>
      <c r="I30" s="193" t="inlineStr">
        <is>
          <t>Integrations</t>
        </is>
      </c>
      <c r="J30" s="234" t="inlineStr">
        <is>
          <t>DONE</t>
        </is>
      </c>
    </row>
    <row r="31" ht="15" customHeight="1" s="186">
      <c r="A31" s="196" t="inlineStr">
        <is>
          <t>Mobile App Config</t>
        </is>
      </c>
      <c r="B31" s="196" t="inlineStr">
        <is>
          <t>mobile-apps/index.js</t>
        </is>
      </c>
      <c r="C31" s="196" t="inlineStr">
        <is>
          <t>—</t>
        </is>
      </c>
      <c r="D31" s="230" t="inlineStr">
        <is>
          <t>EXISTS</t>
        </is>
      </c>
      <c r="E31" s="196" t="inlineStr">
        <is>
          <t>Driver app settings: branding, feature toggles, notification config</t>
        </is>
      </c>
      <c r="F31" s="252" t="inlineStr">
        <is>
          <t>Sprint 2.7</t>
        </is>
      </c>
      <c r="G31" s="232" t="inlineStr">
        <is>
          <t>☑</t>
        </is>
      </c>
      <c r="H31" s="263" t="inlineStr">
        <is>
          <t>DM - Dev</t>
        </is>
      </c>
      <c r="I31" s="197" t="inlineStr">
        <is>
          <t>Frontend</t>
        </is>
      </c>
      <c r="J31" s="238" t="inlineStr">
        <is>
          <t>NOT STARTED</t>
        </is>
      </c>
    </row>
    <row r="32" ht="15" customHeight="1" s="186">
      <c r="A32" s="192" t="inlineStr">
        <is>
          <t>Theme / Widget Config</t>
        </is>
      </c>
      <c r="B32" s="192" t="inlineStr">
        <is>
          <t>theme-configuration/index.js</t>
        </is>
      </c>
      <c r="C32" s="192" t="inlineStr">
        <is>
          <t>—</t>
        </is>
      </c>
      <c r="D32" s="230" t="inlineStr">
        <is>
          <t>EXISTS</t>
        </is>
      </c>
      <c r="E32" s="192" t="inlineStr">
        <is>
          <t>Checkout widget customizer: colors, layout, display rules | Sprint 2.4 - Widget/theme config</t>
        </is>
      </c>
      <c r="F32" s="250" t="inlineStr">
        <is>
          <t>P2</t>
        </is>
      </c>
      <c r="G32" s="232" t="inlineStr">
        <is>
          <t>☑</t>
        </is>
      </c>
      <c r="H32" s="265" t="inlineStr">
        <is>
          <t>NK - Neha</t>
        </is>
      </c>
      <c r="I32" s="193" t="inlineStr">
        <is>
          <t>Frontend</t>
        </is>
      </c>
      <c r="J32" s="234" t="inlineStr">
        <is>
          <t>DONE</t>
        </is>
      </c>
    </row>
    <row r="33" ht="15" customHeight="1" s="186">
      <c r="A33" s="196" t="inlineStr">
        <is>
          <t>Stores Management</t>
        </is>
      </c>
      <c r="B33" s="196" t="inlineStr">
        <is>
          <t>stores/index.js</t>
        </is>
      </c>
      <c r="C33" s="196" t="inlineStr">
        <is>
          <t>—</t>
        </is>
      </c>
      <c r="D33" s="230" t="inlineStr">
        <is>
          <t>EXISTS</t>
        </is>
      </c>
      <c r="E33" s="196" t="inlineStr">
        <is>
          <t>Multi-store management for org-level users | Sprint 2.4 - Multi-store management</t>
        </is>
      </c>
      <c r="F33" s="236" t="inlineStr">
        <is>
          <t>P1</t>
        </is>
      </c>
      <c r="G33" s="232" t="inlineStr">
        <is>
          <t>☑</t>
        </is>
      </c>
      <c r="H33" s="259" t="inlineStr">
        <is>
          <t>NK - Neha</t>
        </is>
      </c>
      <c r="I33" s="197" t="inlineStr">
        <is>
          <t>Frontend</t>
        </is>
      </c>
      <c r="J33" s="238" t="inlineStr">
        <is>
          <t>DONE</t>
        </is>
      </c>
    </row>
    <row r="34" ht="15" customHeight="1" s="186">
      <c r="A34" s="192" t="inlineStr">
        <is>
          <t>Support</t>
        </is>
      </c>
      <c r="B34" s="192" t="inlineStr">
        <is>
          <t>support.js + meet/index.js</t>
        </is>
      </c>
      <c r="C34" s="192" t="inlineStr">
        <is>
          <t>—</t>
        </is>
      </c>
      <c r="D34" s="230" t="inlineStr">
        <is>
          <t>EXISTS</t>
        </is>
      </c>
      <c r="E34" s="192" t="inlineStr">
        <is>
          <t>In-app support: ticket creation, Cal.com scheduling, help articles | Sprint 2.4 - Help center</t>
        </is>
      </c>
      <c r="F34" s="192" t="inlineStr">
        <is>
          <t>P3</t>
        </is>
      </c>
      <c r="G34" s="232" t="inlineStr">
        <is>
          <t>☑</t>
        </is>
      </c>
      <c r="H34" s="255" t="inlineStr">
        <is>
          <t>RG - Rohan</t>
        </is>
      </c>
      <c r="I34" s="193" t="inlineStr">
        <is>
          <t>Integrations</t>
        </is>
      </c>
      <c r="J34" s="234" t="inlineStr">
        <is>
          <t>DONE</t>
        </is>
      </c>
    </row>
    <row r="35" ht="15" customHeight="1" s="186">
      <c r="A35" s="266" t="inlineStr">
        <is>
          <t>Customers</t>
        </is>
      </c>
      <c r="B35" s="266" t="inlineStr">
        <is>
          <t>— (none)</t>
        </is>
      </c>
      <c r="C35" s="266" t="inlineStr">
        <is>
          <t>/customers</t>
        </is>
      </c>
      <c r="D35" s="266" t="inlineStr">
        <is>
          <t>EXISTS</t>
        </is>
      </c>
      <c r="E35" s="266" t="inlineStr">
        <is>
          <t>Full customer management</t>
        </is>
      </c>
      <c r="F35" s="266" t="inlineStr">
        <is>
          <t>P2</t>
        </is>
      </c>
      <c r="G35" s="266" t="inlineStr">
        <is>
          <t>☑</t>
        </is>
      </c>
      <c r="H35" s="266" t="inlineStr">
        <is>
          <t>NK</t>
        </is>
      </c>
      <c r="I35" s="266" t="inlineStr">
        <is>
          <t>Frontend</t>
        </is>
      </c>
      <c r="J35" s="266" t="inlineStr">
        <is>
          <t>DONE</t>
        </is>
      </c>
    </row>
    <row r="36" ht="15" customHeight="1" s="186">
      <c r="A36" s="266" t="inlineStr">
        <is>
          <t>Products</t>
        </is>
      </c>
      <c r="B36" s="266" t="inlineStr">
        <is>
          <t>— (none)</t>
        </is>
      </c>
      <c r="C36" s="266" t="inlineStr">
        <is>
          <t>/products</t>
        </is>
      </c>
      <c r="D36" s="266" t="inlineStr">
        <is>
          <t>EXISTS</t>
        </is>
      </c>
      <c r="E36" s="266" t="inlineStr">
        <is>
          <t>Product catalog + sync</t>
        </is>
      </c>
      <c r="F36" s="266" t="inlineStr">
        <is>
          <t>P2</t>
        </is>
      </c>
      <c r="G36" s="266" t="inlineStr">
        <is>
          <t>☑</t>
        </is>
      </c>
      <c r="H36" s="266" t="inlineStr">
        <is>
          <t>NK</t>
        </is>
      </c>
      <c r="I36" s="266" t="inlineStr">
        <is>
          <t>Frontend</t>
        </is>
      </c>
      <c r="J36" s="266" t="inlineStr">
        <is>
          <t>DONE</t>
        </is>
      </c>
    </row>
    <row r="37" ht="15" customHeight="1" s="186">
      <c r="A37" s="266" t="inlineStr">
        <is>
          <t>Calendar</t>
        </is>
      </c>
      <c r="B37" s="266" t="inlineStr">
        <is>
          <t>— (none)</t>
        </is>
      </c>
      <c r="C37" s="266" t="inlineStr">
        <is>
          <t>/calendar</t>
        </is>
      </c>
      <c r="D37" s="266" t="inlineStr">
        <is>
          <t>EXISTS</t>
        </is>
      </c>
      <c r="E37" s="266" t="inlineStr">
        <is>
          <t>Delivery calendar view</t>
        </is>
      </c>
      <c r="F37" s="266" t="inlineStr">
        <is>
          <t>P3</t>
        </is>
      </c>
      <c r="G37" s="266" t="inlineStr">
        <is>
          <t>☑</t>
        </is>
      </c>
      <c r="H37" s="266" t="inlineStr">
        <is>
          <t>NK</t>
        </is>
      </c>
      <c r="I37" s="266" t="inlineStr">
        <is>
          <t>Frontend</t>
        </is>
      </c>
      <c r="J37" s="266" t="inlineStr">
        <is>
          <t>DONE</t>
        </is>
      </c>
    </row>
    <row r="38" ht="15" customHeight="1" s="186">
      <c r="A38" s="266" t="inlineStr">
        <is>
          <t>Activity Log</t>
        </is>
      </c>
      <c r="B38" s="266" t="inlineStr">
        <is>
          <t>— (none)</t>
        </is>
      </c>
      <c r="C38" s="266" t="inlineStr">
        <is>
          <t>/activity</t>
        </is>
      </c>
      <c r="D38" s="266" t="inlineStr">
        <is>
          <t>EXISTS</t>
        </is>
      </c>
      <c r="E38" s="266" t="inlineStr">
        <is>
          <t>Audit trail viewer</t>
        </is>
      </c>
      <c r="F38" s="266" t="inlineStr">
        <is>
          <t>P3</t>
        </is>
      </c>
      <c r="G38" s="266" t="inlineStr">
        <is>
          <t>☑</t>
        </is>
      </c>
      <c r="H38" s="266" t="inlineStr">
        <is>
          <t>AR</t>
        </is>
      </c>
      <c r="I38" s="266" t="inlineStr">
        <is>
          <t>Architecture</t>
        </is>
      </c>
      <c r="J38" s="266" t="inlineStr">
        <is>
          <t>DONE</t>
        </is>
      </c>
    </row>
    <row r="39" ht="15" customHeight="1" s="186">
      <c r="A39" s="266" t="inlineStr">
        <is>
          <t>Shipping Profiles</t>
        </is>
      </c>
      <c r="B39" s="266" t="inlineStr">
        <is>
          <t>— (none)</t>
        </is>
      </c>
      <c r="C39" s="266" t="inlineStr">
        <is>
          <t>/shipping-profiles</t>
        </is>
      </c>
      <c r="D39" s="266" t="inlineStr">
        <is>
          <t>EXISTS</t>
        </is>
      </c>
      <c r="E39" s="266" t="inlineStr">
        <is>
          <t>Profile management</t>
        </is>
      </c>
      <c r="F39" s="266" t="inlineStr">
        <is>
          <t>P2</t>
        </is>
      </c>
      <c r="G39" s="266" t="inlineStr">
        <is>
          <t>☑</t>
        </is>
      </c>
      <c r="H39" s="266" t="inlineStr">
        <is>
          <t>VS</t>
        </is>
      </c>
      <c r="I39" s="266" t="inlineStr">
        <is>
          <t>Delivery Ops</t>
        </is>
      </c>
      <c r="J39" s="266" t="inlineStr">
        <is>
          <t>DONE</t>
        </is>
      </c>
    </row>
    <row r="40" ht="15" customHeight="1" s="186">
      <c r="A40" s="266" t="inlineStr">
        <is>
          <t>Notifications</t>
        </is>
      </c>
      <c r="B40" s="266" t="inlineStr">
        <is>
          <t>— (none)</t>
        </is>
      </c>
      <c r="C40" s="266" t="inlineStr">
        <is>
          <t>/notifications</t>
        </is>
      </c>
      <c r="D40" s="266" t="inlineStr">
        <is>
          <t>EXISTS</t>
        </is>
      </c>
      <c r="E40" s="266" t="inlineStr">
        <is>
          <t>Notification center</t>
        </is>
      </c>
      <c r="F40" s="266" t="inlineStr">
        <is>
          <t>P2</t>
        </is>
      </c>
      <c r="G40" s="266" t="inlineStr">
        <is>
          <t>☑</t>
        </is>
      </c>
      <c r="H40" s="266" t="inlineStr">
        <is>
          <t>SP</t>
        </is>
      </c>
      <c r="I40" s="266" t="inlineStr">
        <is>
          <t>Integrations</t>
        </is>
      </c>
      <c r="J40" s="266" t="inlineStr">
        <is>
          <t>DONE</t>
        </is>
      </c>
    </row>
    <row r="42" ht="15" customHeight="1" s="186">
      <c r="A42" s="260" t="inlineStr">
        <is>
          <t>SPRINT 2.8 PLANNED</t>
        </is>
      </c>
    </row>
    <row r="43" ht="15" customHeight="1" s="186">
      <c r="A43" s="185" t="inlineStr">
        <is>
          <t>Activity Log (Redesign)</t>
        </is>
      </c>
      <c r="B43" s="185" t="inlineStr">
        <is>
          <t>activity log viewer</t>
        </is>
      </c>
      <c r="C43" s="185" t="inlineStr">
        <is>
          <t>/activity</t>
        </is>
      </c>
      <c r="D43" s="185" t="inlineStr">
        <is>
          <t>PLANNED</t>
        </is>
      </c>
      <c r="E43" s="185" t="inlineStr">
        <is>
          <t>Full audit trail with filters, timeline, entity links, export — frontend-design skill</t>
        </is>
      </c>
      <c r="F43" s="185" t="inlineStr">
        <is>
          <t>P1</t>
        </is>
      </c>
      <c r="G43" s="185" t="inlineStr">
        <is>
          <t>☐</t>
        </is>
      </c>
      <c r="H43" s="185" t="inlineStr">
        <is>
          <t>DM - Dev</t>
        </is>
      </c>
    </row>
    <row r="44" ht="15" customHeight="1" s="186">
      <c r="A44" s="185" t="inlineStr">
        <is>
          <t>Settings Hub (Redesign)</t>
        </is>
      </c>
      <c r="B44" s="185" t="inlineStr">
        <is>
          <t>settings/* (8+ tabs)</t>
        </is>
      </c>
      <c r="C44" s="185" t="inlineStr">
        <is>
          <t>/settings/*</t>
        </is>
      </c>
      <c r="D44" s="185" t="inlineStr">
        <is>
          <t>PLANNED</t>
        </is>
      </c>
      <c r="E44" s="185" t="inlineStr">
        <is>
          <t>Unified settings with auth providers, branding, API keys, team — frontend-design skill</t>
        </is>
      </c>
      <c r="F44" s="185" t="inlineStr">
        <is>
          <t>P1</t>
        </is>
      </c>
      <c r="G44" s="185" t="inlineStr">
        <is>
          <t>☐</t>
        </is>
      </c>
      <c r="H44" s="185" t="inlineStr">
        <is>
          <t>NK - Neha</t>
        </is>
      </c>
    </row>
    <row r="45" ht="15" customHeight="1" s="186">
      <c r="A45" s="185" t="inlineStr">
        <is>
          <t>Platform Admin Panel</t>
        </is>
      </c>
      <c r="B45" s="185" t="inlineStr">
        <is>
          <t>— (new)</t>
        </is>
      </c>
      <c r="C45" s="185" t="inlineStr">
        <is>
          <t>/admin/*</t>
        </is>
      </c>
      <c r="D45" s="185" t="inlineStr">
        <is>
          <t>PLANNED</t>
        </is>
      </c>
      <c r="E45" s="185" t="inlineStr">
        <is>
          <t>User management, customer management, store oversight, metrics, platform config</t>
        </is>
      </c>
      <c r="F45" s="185" t="inlineStr">
        <is>
          <t>P1</t>
        </is>
      </c>
      <c r="G45" s="185" t="inlineStr">
        <is>
          <t>☐</t>
        </is>
      </c>
      <c r="H45" s="185" t="inlineStr">
        <is>
          <t>DM - Dev</t>
        </is>
      </c>
    </row>
    <row r="46" ht="15" customHeight="1" s="186">
      <c r="A46" s="185" t="inlineStr">
        <is>
          <t>Standard Delivery</t>
        </is>
      </c>
      <c r="B46" s="185" t="inlineStr">
        <is>
          <t>standard-delivery/*</t>
        </is>
      </c>
      <c r="C46" s="185" t="inlineStr">
        <is>
          <t>/delivery/standard</t>
        </is>
      </c>
      <c r="D46" s="185" t="inlineStr">
        <is>
          <t>PLANNED</t>
        </is>
      </c>
      <c r="E46" s="185" t="inlineStr">
        <is>
          <t>Standard shipping workflow: orders, shipments, carrier assignment</t>
        </is>
      </c>
      <c r="F46" s="185" t="inlineStr">
        <is>
          <t>P1</t>
        </is>
      </c>
      <c r="G46" s="185" t="inlineStr">
        <is>
          <t>☐</t>
        </is>
      </c>
      <c r="H46" s="185" t="inlineStr">
        <is>
          <t>NK - Neha</t>
        </is>
      </c>
    </row>
    <row r="47" ht="15" customHeight="1" s="186">
      <c r="A47" s="185" t="inlineStr">
        <is>
          <t>Auth Provider Config</t>
        </is>
      </c>
      <c r="B47" s="185" t="inlineStr">
        <is>
          <t>— (new)</t>
        </is>
      </c>
      <c r="C47" s="185" t="inlineStr">
        <is>
          <t>/settings/auth-providers</t>
        </is>
      </c>
      <c r="D47" s="185" t="inlineStr">
        <is>
          <t>PLANNED</t>
        </is>
      </c>
      <c r="E47" s="185" t="inlineStr">
        <is>
          <t>Auth0/Clerk/Cognito/Firebase provider setup, test connection, SAML/OIDC config</t>
        </is>
      </c>
      <c r="F47" s="185" t="inlineStr">
        <is>
          <t>P1</t>
        </is>
      </c>
      <c r="G47" s="185" t="inlineStr">
        <is>
          <t>☐</t>
        </is>
      </c>
      <c r="H47" s="185" t="inlineStr">
        <is>
          <t>NK - Neha</t>
        </is>
      </c>
    </row>
    <row r="49" ht="15" customHeight="1" s="186">
      <c r="A49" s="267" t="inlineStr">
        <is>
          <t>DESIGN SYSTEM (Sprint 3.0)</t>
        </is>
      </c>
      <c r="B49" s="268" t="n"/>
      <c r="C49" s="268" t="n"/>
      <c r="D49" s="268" t="n"/>
    </row>
    <row r="50" ht="15" customHeight="1" s="186">
      <c r="A50" s="269" t="inlineStr">
        <is>
          <t>shadcn/ui Component Preview</t>
        </is>
      </c>
      <c r="B50" s="269" t="inlineStr">
        <is>
          <t>Interactive component gallery with dark theme</t>
        </is>
      </c>
      <c r="C50" s="269" t="inlineStr">
        <is>
          <t>Sprint 3.0</t>
        </is>
      </c>
      <c r="D50" s="269" t="inlineStr">
        <is>
          <t>Planned</t>
        </is>
      </c>
    </row>
    <row r="51" ht="15" customHeight="1" s="186">
      <c r="A51" s="269" t="inlineStr">
        <is>
          <t>Design Tokens Page</t>
        </is>
      </c>
      <c r="B51" s="269" t="inlineStr">
        <is>
          <t>Visual token reference (colors, spacing, typography)</t>
        </is>
      </c>
      <c r="C51" s="269" t="inlineStr">
        <is>
          <t>Sprint 3.0</t>
        </is>
      </c>
      <c r="D51" s="269" t="inlineStr">
        <is>
          <t>Planned</t>
        </is>
      </c>
    </row>
    <row r="52" ht="15" customHeight="1" s="186">
      <c r="A52" s="269" t="inlineStr">
        <is>
          <t>Webhook Management</t>
        </is>
      </c>
      <c r="B52" s="269" t="inlineStr">
        <is>
          <t>Register, test, and monitor webhook endpoints</t>
        </is>
      </c>
      <c r="C52" s="269" t="inlineStr">
        <is>
          <t>Sprint 3.0</t>
        </is>
      </c>
      <c r="D52" s="269" t="inlineStr">
        <is>
          <t>Planned</t>
        </is>
      </c>
    </row>
    <row r="53" ht="15" customHeight="1" s="186">
      <c r="A53" s="269" t="inlineStr">
        <is>
          <t>Event Log Viewer</t>
        </is>
      </c>
      <c r="B53" s="269" t="inlineStr">
        <is>
          <t>Browse and filter platform event stream</t>
        </is>
      </c>
      <c r="C53" s="269" t="inlineStr">
        <is>
          <t>Sprint 3.0</t>
        </is>
      </c>
      <c r="D53" s="269" t="inlineStr">
        <is>
          <t>Planned</t>
        </is>
      </c>
    </row>
  </sheetData>
  <autoFilter ref="A1:J34"/>
  <dataValidations count="3">
    <dataValidation sqref="G2:G34" showDropDown="0" showInputMessage="0" showErrorMessage="0" allowBlank="1" errorTitle="Invalid" error="Use ☐ or ☑" type="list" errorStyle="stop" operator="between">
      <formula1>"☐,☑"</formula1>
      <formula2>0</formula2>
    </dataValidation>
    <dataValidation sqref="H2:H34" showDropDown="0" showInputMessage="0" showErrorMessage="0" allowBlank="1" type="list" errorStyle="stop" operator="between">
      <formula1>"AR,PK,VS,NK,DM,SP,RG,AM,KS,PAIR,ALL"</formula1>
      <formula2>0</formula2>
    </dataValidation>
    <dataValidation sqref="J2:J34" showDropDown="0" showInputMessage="0" showErrorMessage="0" allowBlank="1" type="list" errorStyle="stop" operator="between">
      <formula1>"NOT STARTED,IN PROGRESS,IN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60A5FA"/>
    <outlinePr summaryBelow="1" summaryRight="1"/>
    <pageSetUpPr fitToPage="0"/>
  </sheetPr>
  <dimension ref="A1:J66"/>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6796875" defaultRowHeight="15" customHeight="1" zeroHeight="0" outlineLevelRow="0"/>
  <cols>
    <col width="25" customWidth="1" style="185" min="1" max="1"/>
    <col width="40" customWidth="1" style="185" min="2" max="2"/>
    <col width="28" customWidth="1" style="185" min="3" max="3"/>
    <col width="12" customWidth="1" style="185" min="4" max="4"/>
    <col width="65" customWidth="1" style="185" min="5" max="5"/>
    <col width="8" customWidth="1" style="185" min="6" max="6"/>
    <col width="7" customWidth="1" style="185" min="7" max="7"/>
    <col width="18" customWidth="1" style="185" min="8" max="8"/>
    <col width="16" customWidth="1" style="185" min="9" max="10"/>
  </cols>
  <sheetData>
    <row r="1" ht="26.25" customHeight="1" s="186">
      <c r="A1" s="189" t="inlineStr">
        <is>
          <t>Service Domain</t>
        </is>
      </c>
      <c r="B1" s="189" t="inlineStr">
        <is>
          <t>Old Services (lmd-oms-v3)</t>
        </is>
      </c>
      <c r="C1" s="189" t="inlineStr">
        <is>
          <t>New API Routes (Fastify)</t>
        </is>
      </c>
      <c r="D1" s="189" t="inlineStr">
        <is>
          <t>Status</t>
        </is>
      </c>
      <c r="E1" s="189" t="inlineStr">
        <is>
          <t>Key Endpoints Missing</t>
        </is>
      </c>
      <c r="F1" s="189" t="inlineStr">
        <is>
          <t>Priority</t>
        </is>
      </c>
      <c r="G1" s="189" t="inlineStr">
        <is>
          <t>Done</t>
        </is>
      </c>
      <c r="H1" s="189" t="inlineStr">
        <is>
          <t>Assignee</t>
        </is>
      </c>
      <c r="I1" s="189" t="inlineStr">
        <is>
          <t>Squad</t>
        </is>
      </c>
      <c r="J1" s="189" t="inlineStr">
        <is>
          <t>Work Status</t>
        </is>
      </c>
    </row>
    <row r="2" ht="23.25" customHeight="1" s="186">
      <c r="A2" s="222" t="inlineStr">
        <is>
          <t>Authentication</t>
        </is>
      </c>
      <c r="B2" s="222" t="inlineStr">
        <is>
          <t>users/userService (JWT + cookie sessions)</t>
        </is>
      </c>
      <c r="C2" s="222" t="inlineStr">
        <is>
          <t>routes/auth.ts</t>
        </is>
      </c>
      <c r="D2" s="223" t="inlineStr">
        <is>
          <t>EXISTS</t>
        </is>
      </c>
      <c r="E2" s="222" t="inlineStr">
        <is>
          <t>Google OAuth, password reset flow, email verification, 2FA, refresh token rotation, session management</t>
        </is>
      </c>
      <c r="F2" s="224" t="inlineStr">
        <is>
          <t>P0</t>
        </is>
      </c>
      <c r="G2" s="225" t="inlineStr">
        <is>
          <t>☑</t>
        </is>
      </c>
      <c r="H2" s="235" t="inlineStr">
        <is>
          <t>AR - Arjun</t>
        </is>
      </c>
      <c r="I2" s="227" t="inlineStr">
        <is>
          <t>Architecture</t>
        </is>
      </c>
      <c r="J2" s="228" t="inlineStr">
        <is>
          <t>DONE</t>
        </is>
      </c>
    </row>
    <row r="3" ht="23.25" customHeight="1" s="186">
      <c r="A3" s="222" t="inlineStr">
        <is>
          <t>Order CRUD</t>
        </is>
      </c>
      <c r="B3" s="222" t="inlineStr">
        <is>
          <t>orders/orderService + orderCountService</t>
        </is>
      </c>
      <c r="C3" s="222" t="inlineStr">
        <is>
          <t>routes/orders.ts</t>
        </is>
      </c>
      <c r="D3" s="223" t="inlineStr">
        <is>
          <t>EXISTS</t>
        </is>
      </c>
      <c r="E3" s="222" t="inlineStr">
        <is>
          <t>Manual order creation, order import (CSV), bulk status update, order merge/split, refund initiation, fulfillment creation</t>
        </is>
      </c>
      <c r="F3" s="224" t="inlineStr">
        <is>
          <t>P0</t>
        </is>
      </c>
      <c r="G3" s="225" t="inlineStr">
        <is>
          <t>☑</t>
        </is>
      </c>
      <c r="H3" s="226" t="inlineStr">
        <is>
          <t>PK - Priya</t>
        </is>
      </c>
      <c r="I3" s="227" t="inlineStr">
        <is>
          <t>Core Backend</t>
        </is>
      </c>
      <c r="J3" s="229" t="inlineStr">
        <is>
          <t>DONE</t>
        </is>
      </c>
    </row>
    <row r="4" ht="23.25" customHeight="1" s="186">
      <c r="A4" s="192" t="inlineStr">
        <is>
          <t>Shipment Lifecycle</t>
        </is>
      </c>
      <c r="B4" s="192" t="inlineStr">
        <is>
          <t>shipment/* (18 service files)</t>
        </is>
      </c>
      <c r="C4" s="192" t="inlineStr">
        <is>
          <t>—</t>
        </is>
      </c>
      <c r="D4" s="230" t="inlineStr">
        <is>
          <t>EXISTS</t>
        </is>
      </c>
      <c r="E4" s="192" t="inlineStr">
        <is>
          <t>Entire shipment domain: create from order, status transitions, assign to route, label generation, tracking updates, documents, payment tracking, activity log</t>
        </is>
      </c>
      <c r="F4" s="231" t="inlineStr">
        <is>
          <t>Sprint 2.4 - FileStorage (local + S3)</t>
        </is>
      </c>
      <c r="G4" s="232" t="inlineStr">
        <is>
          <t>☑</t>
        </is>
      </c>
      <c r="H4" s="233" t="inlineStr">
        <is>
          <t>PK - Priya</t>
        </is>
      </c>
      <c r="I4" s="193" t="inlineStr">
        <is>
          <t>Core Backend</t>
        </is>
      </c>
      <c r="J4" s="234" t="inlineStr">
        <is>
          <t>DONE</t>
        </is>
      </c>
    </row>
    <row r="5" ht="34.5" customHeight="1" s="186">
      <c r="A5" s="196" t="inlineStr">
        <is>
          <t>Route Optimization</t>
        </is>
      </c>
      <c r="B5" s="196" t="inlineStr">
        <is>
          <t>serviceBus/mapbox + locationService/mapboxService + googleMapService</t>
        </is>
      </c>
      <c r="C5" s="196" t="inlineStr">
        <is>
          <t>packages/core/src/route-optimizer/ (5 files)</t>
        </is>
      </c>
      <c r="D5" s="230" t="inlineStr">
        <is>
          <t>EXISTS</t>
        </is>
      </c>
      <c r="E5" s="196" t="inlineStr">
        <is>
          <t>Nearest-neighbor, 2-opt, Clarke-Wright algorithms; ETA calculation; distance matrix</t>
        </is>
      </c>
      <c r="F5" s="247" t="inlineStr">
        <is>
          <t>P0</t>
        </is>
      </c>
      <c r="G5" s="232" t="inlineStr">
        <is>
          <t>☑</t>
        </is>
      </c>
      <c r="H5" s="248" t="inlineStr">
        <is>
          <t>VS - Vikram</t>
        </is>
      </c>
      <c r="I5" s="197" t="inlineStr">
        <is>
          <t>Core Backend</t>
        </is>
      </c>
      <c r="J5" s="246" t="inlineStr">
        <is>
          <t>DONE</t>
        </is>
      </c>
    </row>
    <row r="6" ht="23.25" customHeight="1" s="186">
      <c r="A6" s="222" t="inlineStr">
        <is>
          <t>Route Management</t>
        </is>
      </c>
      <c r="B6" s="222" t="inlineStr">
        <is>
          <t>shipment/shipmentRoutes + shipmentRouteDirection</t>
        </is>
      </c>
      <c r="C6" s="222" t="inlineStr">
        <is>
          <t>routes/routes.ts</t>
        </is>
      </c>
      <c r="D6" s="223" t="inlineStr">
        <is>
          <t>EXISTS</t>
        </is>
      </c>
      <c r="E6" s="222" t="inlineStr">
        <is>
          <t>Route CRUD exists but missing: optimization integration, direction rendering, stop reordering, driver notification on assignment, route claiming, label printing</t>
        </is>
      </c>
      <c r="F6" s="224" t="inlineStr">
        <is>
          <t>P0</t>
        </is>
      </c>
      <c r="G6" s="225" t="inlineStr">
        <is>
          <t>☑</t>
        </is>
      </c>
      <c r="H6" s="249" t="inlineStr">
        <is>
          <t>VS - Vikram</t>
        </is>
      </c>
      <c r="I6" s="227" t="inlineStr">
        <is>
          <t>Core Backend</t>
        </is>
      </c>
      <c r="J6" s="229" t="inlineStr">
        <is>
          <t>DONE</t>
        </is>
      </c>
    </row>
    <row r="7" ht="23.25" customHeight="1" s="186">
      <c r="A7" s="196" t="inlineStr">
        <is>
          <t>Location/Warehouse Mgmt</t>
        </is>
      </c>
      <c r="B7" s="196" t="inlineStr">
        <is>
          <t>— (via storeDetail)</t>
        </is>
      </c>
      <c r="C7" s="196" t="inlineStr">
        <is>
          <t>routes/locations-v2.ts (13 endpoints)</t>
        </is>
      </c>
      <c r="D7" s="230" t="inlineStr">
        <is>
          <t>EXISTS</t>
        </is>
      </c>
      <c r="E7" s="196" t="inlineStr">
        <is>
          <t>Working hours, capacity, zone associations, nearest location (Haversine)</t>
        </is>
      </c>
      <c r="F7" s="247" t="inlineStr">
        <is>
          <t>P0</t>
        </is>
      </c>
      <c r="G7" s="232" t="inlineStr">
        <is>
          <t>☑</t>
        </is>
      </c>
      <c r="H7" s="248" t="inlineStr">
        <is>
          <t>VS - Vikram</t>
        </is>
      </c>
      <c r="I7" s="197" t="inlineStr">
        <is>
          <t>Core Backend</t>
        </is>
      </c>
      <c r="J7" s="246" t="inlineStr">
        <is>
          <t>DONE</t>
        </is>
      </c>
    </row>
    <row r="8" ht="23.25" customHeight="1" s="186">
      <c r="A8" s="192" t="inlineStr">
        <is>
          <t>Shipping Profiles</t>
        </is>
      </c>
      <c r="B8" s="192" t="inlineStr">
        <is>
          <t>profiles/shippingProfile + calenderProfile</t>
        </is>
      </c>
      <c r="C8" s="192" t="inlineStr">
        <is>
          <t>—</t>
        </is>
      </c>
      <c r="D8" s="230" t="inlineStr">
        <is>
          <t>EXISTS</t>
        </is>
      </c>
      <c r="E8" s="192" t="inlineStr">
        <is>
          <t>Rate calculation engine, calendar rules, delivery windows, processing times, conditional rules, zone-based pricing</t>
        </is>
      </c>
      <c r="F8" s="231" t="inlineStr">
        <is>
          <t>Sprint 2.4 - FileStorage (local + S3)</t>
        </is>
      </c>
      <c r="G8" s="232" t="inlineStr">
        <is>
          <t>☑</t>
        </is>
      </c>
      <c r="H8" s="245" t="inlineStr">
        <is>
          <t>VS - Vikram</t>
        </is>
      </c>
      <c r="I8" s="193" t="inlineStr">
        <is>
          <t>Core Backend</t>
        </is>
      </c>
      <c r="J8" s="234" t="inlineStr">
        <is>
          <t>DONE</t>
        </is>
      </c>
    </row>
    <row r="9" ht="23.25" customHeight="1" s="186">
      <c r="A9" s="196" t="inlineStr">
        <is>
          <t>Delivery Rules Engine</t>
        </is>
      </c>
      <c r="B9" s="196" t="inlineStr">
        <is>
          <t>shipment/shipmentRules + calenderRules/*</t>
        </is>
      </c>
      <c r="C9" s="196" t="inlineStr">
        <is>
          <t>—</t>
        </is>
      </c>
      <c r="D9" s="230" t="inlineStr">
        <is>
          <t>EXISTS</t>
        </is>
      </c>
      <c r="E9" s="196" t="inlineStr">
        <is>
          <t>Distance-based, weight-based, zone-based, time-based, product-category rules; min order; same-day/next-day logic</t>
        </is>
      </c>
      <c r="F9" s="247" t="inlineStr">
        <is>
          <t>Sprint 2.4 - Delivery rules engine</t>
        </is>
      </c>
      <c r="G9" s="232" t="inlineStr">
        <is>
          <t>☑</t>
        </is>
      </c>
      <c r="H9" s="248" t="inlineStr">
        <is>
          <t>VS - Vikram</t>
        </is>
      </c>
      <c r="I9" s="197" t="inlineStr">
        <is>
          <t>Core Backend</t>
        </is>
      </c>
      <c r="J9" s="238" t="inlineStr">
        <is>
          <t>DONE</t>
        </is>
      </c>
    </row>
    <row r="10" ht="23.25" customHeight="1" s="186">
      <c r="A10" s="222" t="inlineStr">
        <is>
          <t>Carrier Rate Calculation</t>
        </is>
      </c>
      <c r="B10" s="222" t="inlineStr">
        <is>
          <t>carrierService/* (6 files)</t>
        </is>
      </c>
      <c r="C10" s="222" t="inlineStr">
        <is>
          <t>routes/carriers.ts</t>
        </is>
      </c>
      <c r="D10" s="223" t="inlineStr">
        <is>
          <t>EXISTS</t>
        </is>
      </c>
      <c r="E10" s="222" t="inlineStr">
        <is>
          <t>Rate calculator engine, natural load balancing, Shopify carrier service callback, multi-carrier comparison</t>
        </is>
      </c>
      <c r="F10" s="224" t="inlineStr">
        <is>
          <t>Sprint 2.4 - FileStorage (local + S3)</t>
        </is>
      </c>
      <c r="G10" s="225" t="inlineStr">
        <is>
          <t>☑</t>
        </is>
      </c>
      <c r="H10" s="249" t="inlineStr">
        <is>
          <t>VS - Vikram</t>
        </is>
      </c>
      <c r="I10" s="227" t="inlineStr">
        <is>
          <t>Core Backend</t>
        </is>
      </c>
      <c r="J10" s="229" t="inlineStr">
        <is>
          <t>DONE</t>
        </is>
      </c>
    </row>
    <row r="11" ht="23.25" customHeight="1" s="186">
      <c r="A11" s="196" t="inlineStr">
        <is>
          <t>Notification Dispatch</t>
        </is>
      </c>
      <c r="B11" s="196" t="inlineStr">
        <is>
          <t>notifications/* (9 files)</t>
        </is>
      </c>
      <c r="C11" s="196" t="inlineStr">
        <is>
          <t>—</t>
        </is>
      </c>
      <c r="D11" s="230" t="inlineStr">
        <is>
          <t>EXISTS</t>
        </is>
      </c>
      <c r="E11" s="196" t="inlineStr">
        <is>
          <t>Email (SendGrid/SMTP), SMS (Twilio), WhatsApp (Meta Cloud API), Push (Firebase), Slack — all channel dispatchers</t>
        </is>
      </c>
      <c r="F11" s="247" t="inlineStr">
        <is>
          <t>Sprint 2.4 - FileStorage (local + S3)</t>
        </is>
      </c>
      <c r="G11" s="232" t="inlineStr">
        <is>
          <t>☑</t>
        </is>
      </c>
      <c r="H11" s="253" t="inlineStr">
        <is>
          <t>SP - Sanya</t>
        </is>
      </c>
      <c r="I11" s="197" t="inlineStr">
        <is>
          <t>Integrations</t>
        </is>
      </c>
      <c r="J11" s="238" t="inlineStr">
        <is>
          <t>DONE</t>
        </is>
      </c>
    </row>
    <row r="12" ht="23.25" customHeight="1" s="186">
      <c r="A12" s="192" t="inlineStr">
        <is>
          <t>Notification Templates</t>
        </is>
      </c>
      <c r="B12" s="192" t="inlineStr">
        <is>
          <t>campaign/emailTemplate + whatsappTemplate</t>
        </is>
      </c>
      <c r="C12" s="192" t="inlineStr">
        <is>
          <t>—</t>
        </is>
      </c>
      <c r="D12" s="230" t="inlineStr">
        <is>
          <t>EXISTS</t>
        </is>
      </c>
      <c r="E12" s="192" t="inlineStr">
        <is>
          <t>Template CRUD, Unlayer email editor, WhatsApp template sync, variable interpolation, multi-language</t>
        </is>
      </c>
      <c r="F12" s="254" t="inlineStr">
        <is>
          <t>Sprint 2.4 - Campaign manager + template engine</t>
        </is>
      </c>
      <c r="G12" s="232" t="inlineStr">
        <is>
          <t>☑</t>
        </is>
      </c>
      <c r="H12" s="251" t="inlineStr">
        <is>
          <t>SP - Sanya</t>
        </is>
      </c>
      <c r="I12" s="193" t="inlineStr">
        <is>
          <t>Integrations</t>
        </is>
      </c>
      <c r="J12" s="234" t="inlineStr">
        <is>
          <t>DONE</t>
        </is>
      </c>
    </row>
    <row r="13" ht="23.25" customHeight="1" s="186">
      <c r="A13" s="222" t="inlineStr">
        <is>
          <t>Webhook Processing</t>
        </is>
      </c>
      <c r="B13" s="222" t="inlineStr">
        <is>
          <t>webhooks/* (7 files) + 5 webhook servers</t>
        </is>
      </c>
      <c r="C13" s="222" t="inlineStr">
        <is>
          <t>routes/shopify-webhooks.ts</t>
        </is>
      </c>
      <c r="D13" s="223" t="inlineStr">
        <is>
          <t>EXISTS</t>
        </is>
      </c>
      <c r="E13" s="222" t="inlineStr">
        <is>
          <t>Missing dedicated queue processors for orders, products, customers, inventory; missing retry logic, dead letter queues</t>
        </is>
      </c>
      <c r="F13" s="224" t="inlineStr">
        <is>
          <t>Sprint 2.4 - FileStorage (local + S3)</t>
        </is>
      </c>
      <c r="G13" s="225" t="inlineStr">
        <is>
          <t>☑</t>
        </is>
      </c>
      <c r="H13" s="226" t="inlineStr">
        <is>
          <t>PK - Priya</t>
        </is>
      </c>
      <c r="I13" s="227" t="inlineStr">
        <is>
          <t>Core Backend</t>
        </is>
      </c>
      <c r="J13" s="229" t="inlineStr">
        <is>
          <t>DONE</t>
        </is>
      </c>
    </row>
    <row r="14" ht="23.25" customHeight="1" s="186">
      <c r="A14" s="192" t="inlineStr">
        <is>
          <t>Shopify Sync</t>
        </is>
      </c>
      <c r="B14" s="192" t="inlineStr">
        <is>
          <t>shopify/* (15 files)</t>
        </is>
      </c>
      <c r="C14" s="192" t="inlineStr">
        <is>
          <t>—</t>
        </is>
      </c>
      <c r="D14" s="230" t="inlineStr">
        <is>
          <t>EXISTS</t>
        </is>
      </c>
      <c r="E14" s="192" t="inlineStr">
        <is>
          <t>Order sync, product sync, customer sync, inventory sync, collection sync, metafield ops, cart validation, fulfillment routing, GraphQL helpers</t>
        </is>
      </c>
      <c r="F14" s="231" t="inlineStr">
        <is>
          <t>Sprint 2.4 - FileStorage (local + S3)</t>
        </is>
      </c>
      <c r="G14" s="232" t="inlineStr">
        <is>
          <t>☑</t>
        </is>
      </c>
      <c r="H14" s="233" t="inlineStr">
        <is>
          <t>PK - Priya</t>
        </is>
      </c>
      <c r="I14" s="193" t="inlineStr">
        <is>
          <t>Core Backend</t>
        </is>
      </c>
      <c r="J14" s="234" t="inlineStr">
        <is>
          <t>DONE</t>
        </is>
      </c>
    </row>
    <row r="15" ht="23.25" customHeight="1" s="186">
      <c r="A15" s="196" t="inlineStr">
        <is>
          <t>Real-time Tracking</t>
        </is>
      </c>
      <c r="B15" s="196" t="inlineStr">
        <is>
          <t>tracking/* (3 files) + Firebase</t>
        </is>
      </c>
      <c r="C15" s="196" t="inlineStr">
        <is>
          <t>—</t>
        </is>
      </c>
      <c r="D15" s="230" t="inlineStr">
        <is>
          <t>EXISTS</t>
        </is>
      </c>
      <c r="E15" s="196" t="inlineStr">
        <is>
          <t>Firebase real-time driver location, customer tracking page updates, driver notification triggers, WebSocket/SSE fallback</t>
        </is>
      </c>
      <c r="F15" s="247" t="inlineStr">
        <is>
          <t>Sprint 2.4 - FileStorage (local + S3)</t>
        </is>
      </c>
      <c r="G15" s="232" t="inlineStr">
        <is>
          <t>☑</t>
        </is>
      </c>
      <c r="H15" s="253" t="inlineStr">
        <is>
          <t>SP - Sanya</t>
        </is>
      </c>
      <c r="I15" s="197" t="inlineStr">
        <is>
          <t>Integrations</t>
        </is>
      </c>
      <c r="J15" s="238" t="inlineStr">
        <is>
          <t>DONE</t>
        </is>
      </c>
    </row>
    <row r="16" ht="23.25" customHeight="1" s="186">
      <c r="A16" s="192" t="inlineStr">
        <is>
          <t>Payment Processing</t>
        </is>
      </c>
      <c r="B16" s="192" t="inlineStr">
        <is>
          <t>cod/* + paymentGateways/*</t>
        </is>
      </c>
      <c r="C16" s="192" t="inlineStr">
        <is>
          <t>routes/payment-methods.ts + packages/core/src/payments/</t>
        </is>
      </c>
      <c r="D16" s="230" t="inlineStr">
        <is>
          <t>EXISTS</t>
        </is>
      </c>
      <c r="E16" s="192" t="inlineStr">
        <is>
          <t>COD gateway implemented; abstract PaymentGateway for Stripe/Razorpay; idempotent processor</t>
        </is>
      </c>
      <c r="F16" s="254" t="inlineStr">
        <is>
          <t>P1</t>
        </is>
      </c>
      <c r="G16" s="232" t="inlineStr">
        <is>
          <t>☑</t>
        </is>
      </c>
      <c r="H16" s="255" t="inlineStr">
        <is>
          <t>RG - Rohan</t>
        </is>
      </c>
      <c r="I16" s="193" t="inlineStr">
        <is>
          <t>Integrations</t>
        </is>
      </c>
      <c r="J16" s="246" t="inlineStr">
        <is>
          <t>DONE</t>
        </is>
      </c>
    </row>
    <row r="17" ht="23.25" customHeight="1" s="186">
      <c r="A17" s="196" t="inlineStr">
        <is>
          <t>Analytics Engine</t>
        </is>
      </c>
      <c r="B17" s="196" t="inlineStr">
        <is>
          <t>analytics/dashboard + analyticsEvent/*</t>
        </is>
      </c>
      <c r="C17" s="196" t="inlineStr">
        <is>
          <t>routes/analytics-v2.ts + packages/core/src/analytics/</t>
        </is>
      </c>
      <c r="D17" s="230" t="inlineStr">
        <is>
          <t>EXISTS</t>
        </is>
      </c>
      <c r="E17" s="196" t="inlineStr">
        <is>
          <t>Event tracker, time-series aggregator, dashboard widgets; 6 API endpoints</t>
        </is>
      </c>
      <c r="F17" s="236" t="inlineStr">
        <is>
          <t>P1</t>
        </is>
      </c>
      <c r="G17" s="232" t="inlineStr">
        <is>
          <t>☑</t>
        </is>
      </c>
      <c r="H17" s="256" t="inlineStr">
        <is>
          <t>RG - Rohan</t>
        </is>
      </c>
      <c r="I17" s="197" t="inlineStr">
        <is>
          <t>Integrations</t>
        </is>
      </c>
      <c r="J17" s="246" t="inlineStr">
        <is>
          <t>DONE</t>
        </is>
      </c>
    </row>
    <row r="18" ht="23.25" customHeight="1" s="186">
      <c r="A18" s="192" t="inlineStr">
        <is>
          <t>Campaign System</t>
        </is>
      </c>
      <c r="B18" s="192" t="inlineStr">
        <is>
          <t>campaign/* (3 files)</t>
        </is>
      </c>
      <c r="C18" s="192" t="inlineStr">
        <is>
          <t>—</t>
        </is>
      </c>
      <c r="D18" s="230" t="inlineStr">
        <is>
          <t>EXISTS</t>
        </is>
      </c>
      <c r="E18" s="192" t="inlineStr">
        <is>
          <t>Campaign creation, audience segmentation, broadcast groups, send scheduling, open/click tracking</t>
        </is>
      </c>
      <c r="F18" s="250" t="inlineStr">
        <is>
          <t>Sprint 2.4 - Campaign manager + template engine</t>
        </is>
      </c>
      <c r="G18" s="232" t="inlineStr">
        <is>
          <t>☑</t>
        </is>
      </c>
      <c r="H18" s="251" t="inlineStr">
        <is>
          <t>SP - Sanya</t>
        </is>
      </c>
      <c r="I18" s="193" t="inlineStr">
        <is>
          <t>Integrations</t>
        </is>
      </c>
      <c r="J18" s="234" t="inlineStr">
        <is>
          <t>DONE</t>
        </is>
      </c>
    </row>
    <row r="19" ht="23.25" customHeight="1" s="186">
      <c r="A19" s="196" t="inlineStr">
        <is>
          <t>File Management</t>
        </is>
      </c>
      <c r="B19" s="196" t="inlineStr">
        <is>
          <t>Files/* (2 files)</t>
        </is>
      </c>
      <c r="C19" s="196" t="inlineStr">
        <is>
          <t>—</t>
        </is>
      </c>
      <c r="D19" s="230" t="inlineStr">
        <is>
          <t>EXISTS</t>
        </is>
      </c>
      <c r="E19" s="196" t="inlineStr">
        <is>
          <t>File upload/download, CSV import/export, POD photo storage, document management</t>
        </is>
      </c>
      <c r="F19" s="236" t="inlineStr">
        <is>
          <t>Sprint 2.4 - FileStorage (local + S3)</t>
        </is>
      </c>
      <c r="G19" s="232" t="inlineStr">
        <is>
          <t>☑</t>
        </is>
      </c>
      <c r="H19" s="256" t="inlineStr">
        <is>
          <t>RG - Rohan</t>
        </is>
      </c>
      <c r="I19" s="197" t="inlineStr">
        <is>
          <t>Integrations</t>
        </is>
      </c>
      <c r="J19" s="238" t="inlineStr">
        <is>
          <t>DONE</t>
        </is>
      </c>
    </row>
    <row r="20" ht="23.25" customHeight="1" s="186">
      <c r="A20" s="222" t="inlineStr">
        <is>
          <t>Billing &amp; Plans</t>
        </is>
      </c>
      <c r="B20" s="222" t="inlineStr">
        <is>
          <t>store/billingService + plansService</t>
        </is>
      </c>
      <c r="C20" s="222" t="inlineStr">
        <is>
          <t>routes/billing.ts</t>
        </is>
      </c>
      <c r="D20" s="224" t="inlineStr">
        <is>
          <t>EXISTS</t>
        </is>
      </c>
      <c r="E20" s="222" t="inlineStr">
        <is>
          <t>Shopify billing API integration, plan management, usage metering, upgrade/downgrade, invoice generation</t>
        </is>
      </c>
      <c r="F20" s="223" t="inlineStr">
        <is>
          <t>P1</t>
        </is>
      </c>
      <c r="G20" s="225" t="inlineStr">
        <is>
          <t>☑</t>
        </is>
      </c>
      <c r="H20" s="257" t="inlineStr">
        <is>
          <t>RG - Rohan</t>
        </is>
      </c>
      <c r="I20" s="227" t="inlineStr">
        <is>
          <t>Integrations</t>
        </is>
      </c>
      <c r="J20" s="229" t="inlineStr">
        <is>
          <t>DONE</t>
        </is>
      </c>
    </row>
    <row r="21" ht="23.25" customHeight="1" s="186">
      <c r="A21" s="222" t="inlineStr">
        <is>
          <t>User/Role Management</t>
        </is>
      </c>
      <c r="B21" s="222" t="inlineStr">
        <is>
          <t>users/* (5 files)</t>
        </is>
      </c>
      <c r="C21" s="222" t="inlineStr">
        <is>
          <t>routes/users.ts</t>
        </is>
      </c>
      <c r="D21" s="223" t="inlineStr">
        <is>
          <t>EXISTS</t>
        </is>
      </c>
      <c r="E21" s="222" t="inlineStr">
        <is>
          <t>Missing: user invitation flow, role assignment API, permission CRUD, activity logging per user</t>
        </is>
      </c>
      <c r="F21" s="223" t="inlineStr">
        <is>
          <t>Sprint 2.4 - FileStorage (local + S3)</t>
        </is>
      </c>
      <c r="G21" s="225" t="inlineStr">
        <is>
          <t>☑</t>
        </is>
      </c>
      <c r="H21" s="235" t="inlineStr">
        <is>
          <t>AR - Arjun</t>
        </is>
      </c>
      <c r="I21" s="227" t="inlineStr">
        <is>
          <t>Architecture</t>
        </is>
      </c>
      <c r="J21" s="229" t="inlineStr">
        <is>
          <t>DONE</t>
        </is>
      </c>
    </row>
    <row r="22" ht="23.25" customHeight="1" s="186">
      <c r="A22" s="222" t="inlineStr">
        <is>
          <t>Store Management</t>
        </is>
      </c>
      <c r="B22" s="222" t="inlineStr">
        <is>
          <t>store/* (13 files)</t>
        </is>
      </c>
      <c r="C22" s="222" t="inlineStr">
        <is>
          <t>routes/shops.ts</t>
        </is>
      </c>
      <c r="D22" s="223" t="inlineStr">
        <is>
          <t>EXISTS</t>
        </is>
      </c>
      <c r="E22" s="222" t="inlineStr">
        <is>
          <t>Missing: store settings CRUD, API provider config, table filter persistence, inventory config, billing config, installer tracking</t>
        </is>
      </c>
      <c r="F22" s="223" t="inlineStr">
        <is>
          <t>Sprint 2.4 - FileStorage (local + S3)</t>
        </is>
      </c>
      <c r="G22" s="225" t="inlineStr">
        <is>
          <t>☑</t>
        </is>
      </c>
      <c r="H22" s="235" t="inlineStr">
        <is>
          <t>AR - Arjun</t>
        </is>
      </c>
      <c r="I22" s="227" t="inlineStr">
        <is>
          <t>Architecture</t>
        </is>
      </c>
      <c r="J22" s="229" t="inlineStr">
        <is>
          <t>DONE</t>
        </is>
      </c>
    </row>
    <row r="23" ht="15" customHeight="1" s="186">
      <c r="A23" s="196" t="inlineStr">
        <is>
          <t>History/Audit Trail</t>
        </is>
      </c>
      <c r="B23" s="196" t="inlineStr">
        <is>
          <t>history/history</t>
        </is>
      </c>
      <c r="C23" s="196" t="inlineStr">
        <is>
          <t>—</t>
        </is>
      </c>
      <c r="D23" s="230" t="inlineStr">
        <is>
          <t>MISSING</t>
        </is>
      </c>
      <c r="E23" s="196" t="inlineStr">
        <is>
          <t>Activity logging, entity change tracking, audit trail queries, export</t>
        </is>
      </c>
      <c r="F23" s="236" t="inlineStr">
        <is>
          <t>P1</t>
        </is>
      </c>
      <c r="G23" s="232" t="inlineStr">
        <is>
          <t>☑</t>
        </is>
      </c>
      <c r="H23" s="237" t="inlineStr">
        <is>
          <t>AR - Arjun</t>
        </is>
      </c>
      <c r="I23" s="197" t="inlineStr">
        <is>
          <t>Architecture</t>
        </is>
      </c>
      <c r="J23" s="238" t="inlineStr">
        <is>
          <t>DONE</t>
        </is>
      </c>
    </row>
    <row r="24" ht="15" customHeight="1" s="186">
      <c r="A24" s="192" t="inlineStr">
        <is>
          <t>Custom Metafields</t>
        </is>
      </c>
      <c r="B24" s="192" t="inlineStr">
        <is>
          <t>customMetafield/customMetafield</t>
        </is>
      </c>
      <c r="C24" s="192" t="inlineStr">
        <is>
          <t>—</t>
        </is>
      </c>
      <c r="D24" s="230" t="inlineStr">
        <is>
          <t>EXISTS</t>
        </is>
      </c>
      <c r="E24" s="192" t="inlineStr">
        <is>
          <t>Custom field definitions, per-entity custom data, metafield CRUD</t>
        </is>
      </c>
      <c r="F24" s="250" t="inlineStr">
        <is>
          <t>Sprint 2.4 - Custom metafields manager</t>
        </is>
      </c>
      <c r="G24" s="232" t="inlineStr">
        <is>
          <t>☑</t>
        </is>
      </c>
      <c r="H24" s="233" t="inlineStr">
        <is>
          <t>PK - Priya</t>
        </is>
      </c>
      <c r="I24" s="193" t="inlineStr">
        <is>
          <t>Core Backend</t>
        </is>
      </c>
      <c r="J24" s="234" t="inlineStr">
        <is>
          <t>DONE</t>
        </is>
      </c>
    </row>
    <row r="25" ht="23.25" customHeight="1" s="186">
      <c r="A25" s="196" t="inlineStr">
        <is>
          <t>POS Integration</t>
        </is>
      </c>
      <c r="B25" s="196" t="inlineStr">
        <is>
          <t>pos/posCustomFormService + publicService/posPluginService</t>
        </is>
      </c>
      <c r="C25" s="196" t="inlineStr">
        <is>
          <t>—</t>
        </is>
      </c>
      <c r="D25" s="230" t="inlineStr">
        <is>
          <t>MISSING</t>
        </is>
      </c>
      <c r="E25" s="196" t="inlineStr">
        <is>
          <t>Point of sale: custom form builder, POS checkout, POS-specific shipping profiles</t>
        </is>
      </c>
      <c r="F25" s="252" t="inlineStr">
        <is>
          <t>P2</t>
        </is>
      </c>
      <c r="G25" s="232" t="inlineStr">
        <is>
          <t>☐</t>
        </is>
      </c>
      <c r="H25" s="256" t="inlineStr">
        <is>
          <t>RG - Rohan</t>
        </is>
      </c>
      <c r="I25" s="197" t="inlineStr">
        <is>
          <t>Integrations</t>
        </is>
      </c>
      <c r="J25" s="238" t="inlineStr">
        <is>
          <t>NOT STARTED</t>
        </is>
      </c>
    </row>
    <row r="26" ht="23.25" customHeight="1" s="186">
      <c r="A26" s="192" t="inlineStr">
        <is>
          <t>Public APIs (Cart Plugin)</t>
        </is>
      </c>
      <c r="B26" s="192" t="inlineStr">
        <is>
          <t>publicService/cartPluginService</t>
        </is>
      </c>
      <c r="C26" s="192" t="inlineStr">
        <is>
          <t>apps/tracking-page/src/components/ (date-picker, time-slot, rate-calc, cart-widget)</t>
        </is>
      </c>
      <c r="D26" s="230" t="inlineStr">
        <is>
          <t>EXISTS</t>
        </is>
      </c>
      <c r="E26" s="192" t="inlineStr">
        <is>
          <t>Storefront cart plugin: delivery date picker, time slot availability, rate calculation for checkout</t>
        </is>
      </c>
      <c r="F26" s="231" t="inlineStr">
        <is>
          <t>P0</t>
        </is>
      </c>
      <c r="G26" s="232" t="inlineStr">
        <is>
          <t>☑</t>
        </is>
      </c>
      <c r="H26" s="233" t="inlineStr">
        <is>
          <t>PK - Priya</t>
        </is>
      </c>
      <c r="I26" s="193" t="inlineStr">
        <is>
          <t>Core Backend</t>
        </is>
      </c>
      <c r="J26" s="246" t="inlineStr">
        <is>
          <t>DONE</t>
        </is>
      </c>
    </row>
    <row r="27" ht="23.25" customHeight="1" s="186">
      <c r="A27" s="222" t="inlineStr">
        <is>
          <t>Public Tracking API</t>
        </is>
      </c>
      <c r="B27" s="222" t="inlineStr">
        <is>
          <t>publicService/publicService + tracking/*</t>
        </is>
      </c>
      <c r="C27" s="222" t="inlineStr">
        <is>
          <t>routes/tracking.ts</t>
        </is>
      </c>
      <c r="D27" s="223" t="inlineStr">
        <is>
          <t>EXISTS</t>
        </is>
      </c>
      <c r="E27" s="222" t="inlineStr">
        <is>
          <t>Missing: branded tracking page data, real-time status updates, delivery photo display, rating submission</t>
        </is>
      </c>
      <c r="F27" s="223" t="inlineStr">
        <is>
          <t>P1</t>
        </is>
      </c>
      <c r="G27" s="225" t="inlineStr">
        <is>
          <t>☑</t>
        </is>
      </c>
      <c r="H27" s="226" t="inlineStr">
        <is>
          <t>PK - Priya</t>
        </is>
      </c>
      <c r="I27" s="227" t="inlineStr">
        <is>
          <t>Core Backend</t>
        </is>
      </c>
      <c r="J27" s="229" t="inlineStr">
        <is>
          <t>DONE</t>
        </is>
      </c>
    </row>
    <row r="28" ht="23.25" customHeight="1" s="186">
      <c r="A28" s="192" t="inlineStr">
        <is>
          <t>Event Scheduler</t>
        </is>
      </c>
      <c r="B28" s="192" t="inlineStr">
        <is>
          <t>scheduler/* (2 files) + queue server</t>
        </is>
      </c>
      <c r="C28" s="192" t="inlineStr">
        <is>
          <t>—</t>
        </is>
      </c>
      <c r="D28" s="230" t="inlineStr">
        <is>
          <t>EXISTS</t>
        </is>
      </c>
      <c r="E28" s="192" t="inlineStr">
        <is>
          <t>Scheduled event triggers, cron jobs, automated status updates, reminder notifications</t>
        </is>
      </c>
      <c r="F28" s="254" t="inlineStr">
        <is>
          <t>Sprint 2.4 - FileStorage (local + S3)</t>
        </is>
      </c>
      <c r="G28" s="232" t="inlineStr">
        <is>
          <t>☑</t>
        </is>
      </c>
      <c r="H28" s="270" t="inlineStr">
        <is>
          <t>AM - Aisha</t>
        </is>
      </c>
      <c r="I28" s="193" t="inlineStr">
        <is>
          <t>Platform</t>
        </is>
      </c>
      <c r="J28" s="234" t="inlineStr">
        <is>
          <t>DONE</t>
        </is>
      </c>
    </row>
    <row r="29" ht="15" customHeight="1" s="186">
      <c r="A29" s="196" t="inlineStr">
        <is>
          <t>CRM Integration</t>
        </is>
      </c>
      <c r="B29" s="196" t="inlineStr">
        <is>
          <t>crm/hubspot</t>
        </is>
      </c>
      <c r="C29" s="196" t="inlineStr">
        <is>
          <t>—</t>
        </is>
      </c>
      <c r="D29" s="230" t="inlineStr">
        <is>
          <t>MISSING</t>
        </is>
      </c>
      <c r="E29" s="196" t="inlineStr">
        <is>
          <t>HubSpot integration, contact sync, deal tracking</t>
        </is>
      </c>
      <c r="F29" s="196" t="inlineStr">
        <is>
          <t>P3</t>
        </is>
      </c>
      <c r="G29" s="232" t="inlineStr">
        <is>
          <t>☐</t>
        </is>
      </c>
      <c r="H29" s="253" t="inlineStr">
        <is>
          <t>SP - Sanya</t>
        </is>
      </c>
      <c r="I29" s="197" t="inlineStr">
        <is>
          <t>Integrations</t>
        </is>
      </c>
      <c r="J29" s="238" t="inlineStr">
        <is>
          <t>NOT STARTED</t>
        </is>
      </c>
    </row>
    <row r="30" ht="15" customHeight="1" s="186">
      <c r="A30" s="192" t="inlineStr">
        <is>
          <t>Google Calendar</t>
        </is>
      </c>
      <c r="B30" s="192" t="inlineStr">
        <is>
          <t>googleCalender/googleCalenderService</t>
        </is>
      </c>
      <c r="C30" s="192" t="inlineStr">
        <is>
          <t>—</t>
        </is>
      </c>
      <c r="D30" s="230" t="inlineStr">
        <is>
          <t>MISSING</t>
        </is>
      </c>
      <c r="E30" s="192" t="inlineStr">
        <is>
          <t>Calendar integration for delivery scheduling</t>
        </is>
      </c>
      <c r="F30" s="192" t="inlineStr">
        <is>
          <t>P3</t>
        </is>
      </c>
      <c r="G30" s="232" t="inlineStr">
        <is>
          <t>☐</t>
        </is>
      </c>
      <c r="H30" s="251" t="inlineStr">
        <is>
          <t>SP - Sanya</t>
        </is>
      </c>
      <c r="I30" s="193" t="inlineStr">
        <is>
          <t>Integrations</t>
        </is>
      </c>
      <c r="J30" s="234" t="inlineStr">
        <is>
          <t>NOT STARTED</t>
        </is>
      </c>
    </row>
    <row r="31" ht="23.25" customHeight="1" s="186">
      <c r="A31" s="196" t="inlineStr">
        <is>
          <t>Super Admin</t>
        </is>
      </c>
      <c r="B31" s="196" t="inlineStr">
        <is>
          <t>superAdmin/analytics + controllers/super-admin/*</t>
        </is>
      </c>
      <c r="C31" s="196" t="inlineStr">
        <is>
          <t>—</t>
        </is>
      </c>
      <c r="D31" s="230" t="inlineStr">
        <is>
          <t>MISSING</t>
        </is>
      </c>
      <c r="E31" s="196" t="inlineStr">
        <is>
          <t>Cross-store analytics, store management, campaign management, billing admin, webhook admin</t>
        </is>
      </c>
      <c r="F31" s="252" t="inlineStr">
        <is>
          <t>P2</t>
        </is>
      </c>
      <c r="G31" s="232" t="inlineStr">
        <is>
          <t>☑</t>
        </is>
      </c>
      <c r="H31" s="256" t="inlineStr">
        <is>
          <t>RG - Rohan</t>
        </is>
      </c>
      <c r="I31" s="197" t="inlineStr">
        <is>
          <t>Integrations</t>
        </is>
      </c>
      <c r="J31" s="238" t="inlineStr">
        <is>
          <t>DONE</t>
        </is>
      </c>
    </row>
    <row r="32" ht="15" customHeight="1" s="186">
      <c r="A32" s="192" t="inlineStr">
        <is>
          <t>Integration Worker</t>
        </is>
      </c>
      <c r="B32" s="192" t="inlineStr">
        <is>
          <t>— (new)</t>
        </is>
      </c>
      <c r="C32" s="192" t="inlineStr">
        <is>
          <t>workers/integration-worker.ts</t>
        </is>
      </c>
      <c r="D32" s="241" t="inlineStr">
        <is>
          <t>EXISTS</t>
        </is>
      </c>
      <c r="E32" s="192" t="inlineStr">
        <is>
          <t>Integration event processing worker exists</t>
        </is>
      </c>
      <c r="F32" s="192" t="inlineStr">
        <is>
          <t>—</t>
        </is>
      </c>
      <c r="G32" s="242" t="inlineStr">
        <is>
          <t>☑</t>
        </is>
      </c>
      <c r="H32" s="271" t="inlineStr">
        <is>
          <t>—</t>
        </is>
      </c>
      <c r="I32" s="193" t="inlineStr">
        <is>
          <t>—</t>
        </is>
      </c>
      <c r="J32" s="244" t="inlineStr">
        <is>
          <t>DONE</t>
        </is>
      </c>
    </row>
    <row r="33" ht="15" customHeight="1" s="186">
      <c r="A33" s="196" t="inlineStr">
        <is>
          <t>Notification Worker</t>
        </is>
      </c>
      <c r="B33" s="196" t="inlineStr">
        <is>
          <t>— (new)</t>
        </is>
      </c>
      <c r="C33" s="196" t="inlineStr">
        <is>
          <t>workers/notification-worker.ts</t>
        </is>
      </c>
      <c r="D33" s="241" t="inlineStr">
        <is>
          <t>EXISTS</t>
        </is>
      </c>
      <c r="E33" s="196" t="inlineStr">
        <is>
          <t>Notification dispatch worker exists (shell)</t>
        </is>
      </c>
      <c r="F33" s="196" t="inlineStr">
        <is>
          <t>—</t>
        </is>
      </c>
      <c r="G33" s="242" t="inlineStr">
        <is>
          <t>☑</t>
        </is>
      </c>
      <c r="H33" s="243" t="inlineStr">
        <is>
          <t>—</t>
        </is>
      </c>
      <c r="I33" s="197" t="inlineStr">
        <is>
          <t>—</t>
        </is>
      </c>
      <c r="J33" s="244" t="inlineStr">
        <is>
          <t>DONE</t>
        </is>
      </c>
    </row>
    <row r="34" ht="15" customHeight="1" s="186">
      <c r="A34" s="192" t="inlineStr">
        <is>
          <t>Optimization Worker</t>
        </is>
      </c>
      <c r="B34" s="192" t="inlineStr">
        <is>
          <t>— (new)</t>
        </is>
      </c>
      <c r="C34" s="192" t="inlineStr">
        <is>
          <t>workers/optimization-worker.ts</t>
        </is>
      </c>
      <c r="D34" s="241" t="inlineStr">
        <is>
          <t>EXISTS</t>
        </is>
      </c>
      <c r="E34" s="192" t="inlineStr">
        <is>
          <t>Route optimization worker exists (shell)</t>
        </is>
      </c>
      <c r="F34" s="192" t="inlineStr">
        <is>
          <t>—</t>
        </is>
      </c>
      <c r="G34" s="242" t="inlineStr">
        <is>
          <t>☑</t>
        </is>
      </c>
      <c r="H34" s="271" t="inlineStr">
        <is>
          <t>—</t>
        </is>
      </c>
      <c r="I34" s="193" t="inlineStr">
        <is>
          <t>—</t>
        </is>
      </c>
      <c r="J34" s="244" t="inlineStr">
        <is>
          <t>DONE</t>
        </is>
      </c>
    </row>
    <row r="35" ht="15" customHeight="1" s="186">
      <c r="A35" s="266" t="inlineStr">
        <is>
          <t>Settings Management</t>
        </is>
      </c>
      <c r="B35" s="266" t="inlineStr">
        <is>
          <t>— (none)</t>
        </is>
      </c>
      <c r="C35" s="266" t="inlineStr">
        <is>
          <t>routes/settings.ts</t>
        </is>
      </c>
      <c r="D35" s="266" t="inlineStr">
        <is>
          <t>EXISTS</t>
        </is>
      </c>
      <c r="E35" s="266" t="inlineStr">
        <is>
          <t>— (all implemented)</t>
        </is>
      </c>
      <c r="F35" s="266" t="inlineStr">
        <is>
          <t>P2</t>
        </is>
      </c>
      <c r="G35" s="266" t="inlineStr">
        <is>
          <t>☑</t>
        </is>
      </c>
      <c r="H35" s="266" t="inlineStr">
        <is>
          <t>RG</t>
        </is>
      </c>
      <c r="I35" s="266" t="inlineStr">
        <is>
          <t>Backend</t>
        </is>
      </c>
      <c r="J35" s="266" t="inlineStr">
        <is>
          <t>DONE</t>
        </is>
      </c>
    </row>
    <row r="36" ht="15" customHeight="1" s="186">
      <c r="A36" s="266" t="inlineStr">
        <is>
          <t>Drivers CRUD</t>
        </is>
      </c>
      <c r="B36" s="266" t="inlineStr">
        <is>
          <t>— (partial)</t>
        </is>
      </c>
      <c r="C36" s="266" t="inlineStr">
        <is>
          <t>routes/drivers.ts</t>
        </is>
      </c>
      <c r="D36" s="266" t="inlineStr">
        <is>
          <t>EXISTS</t>
        </is>
      </c>
      <c r="E36" s="266" t="inlineStr">
        <is>
          <t>— (all implemented)</t>
        </is>
      </c>
      <c r="F36" s="266" t="inlineStr">
        <is>
          <t>P1</t>
        </is>
      </c>
      <c r="G36" s="266" t="inlineStr">
        <is>
          <t>☑</t>
        </is>
      </c>
      <c r="H36" s="266" t="inlineStr">
        <is>
          <t>VS</t>
        </is>
      </c>
      <c r="I36" s="266" t="inlineStr">
        <is>
          <t>Delivery Ops</t>
        </is>
      </c>
      <c r="J36" s="266" t="inlineStr">
        <is>
          <t>DONE</t>
        </is>
      </c>
    </row>
    <row r="37" ht="15" customHeight="1" s="186">
      <c r="A37" s="266" t="inlineStr">
        <is>
          <t>Zones CRUD</t>
        </is>
      </c>
      <c r="B37" s="266" t="inlineStr">
        <is>
          <t>— (partial)</t>
        </is>
      </c>
      <c r="C37" s="266" t="inlineStr">
        <is>
          <t>routes/zones.ts</t>
        </is>
      </c>
      <c r="D37" s="266" t="inlineStr">
        <is>
          <t>EXISTS</t>
        </is>
      </c>
      <c r="E37" s="266" t="inlineStr">
        <is>
          <t>— (all implemented)</t>
        </is>
      </c>
      <c r="F37" s="266" t="inlineStr">
        <is>
          <t>P1</t>
        </is>
      </c>
      <c r="G37" s="266" t="inlineStr">
        <is>
          <t>☑</t>
        </is>
      </c>
      <c r="H37" s="266" t="inlineStr">
        <is>
          <t>VS</t>
        </is>
      </c>
      <c r="I37" s="266" t="inlineStr">
        <is>
          <t>Delivery Ops</t>
        </is>
      </c>
      <c r="J37" s="266" t="inlineStr">
        <is>
          <t>DONE</t>
        </is>
      </c>
    </row>
    <row r="38" ht="15" customHeight="1" s="186">
      <c r="A38" s="266" t="inlineStr">
        <is>
          <t>Time Slots</t>
        </is>
      </c>
      <c r="B38" s="266" t="inlineStr">
        <is>
          <t>— (none)</t>
        </is>
      </c>
      <c r="C38" s="266" t="inlineStr">
        <is>
          <t>routes/time-slots.ts</t>
        </is>
      </c>
      <c r="D38" s="266" t="inlineStr">
        <is>
          <t>EXISTS</t>
        </is>
      </c>
      <c r="E38" s="266" t="inlineStr">
        <is>
          <t>— (all implemented)</t>
        </is>
      </c>
      <c r="F38" s="266" t="inlineStr">
        <is>
          <t>P2</t>
        </is>
      </c>
      <c r="G38" s="266" t="inlineStr">
        <is>
          <t>☑</t>
        </is>
      </c>
      <c r="H38" s="266" t="inlineStr">
        <is>
          <t>VS</t>
        </is>
      </c>
      <c r="I38" s="266" t="inlineStr">
        <is>
          <t>Delivery Ops</t>
        </is>
      </c>
      <c r="J38" s="266" t="inlineStr">
        <is>
          <t>DONE</t>
        </is>
      </c>
    </row>
    <row r="39" ht="15" customHeight="1" s="186">
      <c r="A39" s="266" t="inlineStr">
        <is>
          <t>Locations CRUD</t>
        </is>
      </c>
      <c r="B39" s="266" t="inlineStr">
        <is>
          <t>— (none)</t>
        </is>
      </c>
      <c r="C39" s="266" t="inlineStr">
        <is>
          <t>routes/locations.ts</t>
        </is>
      </c>
      <c r="D39" s="266" t="inlineStr">
        <is>
          <t>EXISTS</t>
        </is>
      </c>
      <c r="E39" s="266" t="inlineStr">
        <is>
          <t>— (all implemented)</t>
        </is>
      </c>
      <c r="F39" s="266" t="inlineStr">
        <is>
          <t>P2</t>
        </is>
      </c>
      <c r="G39" s="266" t="inlineStr">
        <is>
          <t>☑</t>
        </is>
      </c>
      <c r="H39" s="266" t="inlineStr">
        <is>
          <t>VS</t>
        </is>
      </c>
      <c r="I39" s="266" t="inlineStr">
        <is>
          <t>Delivery Ops</t>
        </is>
      </c>
      <c r="J39" s="266" t="inlineStr">
        <is>
          <t>DONE</t>
        </is>
      </c>
    </row>
    <row r="40" ht="15" customHeight="1" s="186">
      <c r="A40" s="266" t="inlineStr">
        <is>
          <t>Shipments CRUD</t>
        </is>
      </c>
      <c r="B40" s="266" t="inlineStr">
        <is>
          <t>— (none)</t>
        </is>
      </c>
      <c r="C40" s="266" t="inlineStr">
        <is>
          <t>routes/shipments.ts</t>
        </is>
      </c>
      <c r="D40" s="266" t="inlineStr">
        <is>
          <t>EXISTS</t>
        </is>
      </c>
      <c r="E40" s="266" t="inlineStr">
        <is>
          <t>— (all implemented)</t>
        </is>
      </c>
      <c r="F40" s="266" t="inlineStr">
        <is>
          <t>P1</t>
        </is>
      </c>
      <c r="G40" s="266" t="inlineStr">
        <is>
          <t>☑</t>
        </is>
      </c>
      <c r="H40" s="266" t="inlineStr">
        <is>
          <t>PK</t>
        </is>
      </c>
      <c r="I40" s="266" t="inlineStr">
        <is>
          <t>Core Backend</t>
        </is>
      </c>
      <c r="J40" s="266" t="inlineStr">
        <is>
          <t>DONE</t>
        </is>
      </c>
    </row>
    <row r="41" ht="15" customHeight="1" s="186">
      <c r="A41" s="266" t="inlineStr">
        <is>
          <t>Customers CRUD</t>
        </is>
      </c>
      <c r="B41" s="266" t="inlineStr">
        <is>
          <t>— (none)</t>
        </is>
      </c>
      <c r="C41" s="266" t="inlineStr">
        <is>
          <t>routes/customers.ts</t>
        </is>
      </c>
      <c r="D41" s="266" t="inlineStr">
        <is>
          <t>EXISTS</t>
        </is>
      </c>
      <c r="E41" s="266" t="inlineStr">
        <is>
          <t>— (all implemented)</t>
        </is>
      </c>
      <c r="F41" s="266" t="inlineStr">
        <is>
          <t>P2</t>
        </is>
      </c>
      <c r="G41" s="266" t="inlineStr">
        <is>
          <t>☑</t>
        </is>
      </c>
      <c r="H41" s="266" t="inlineStr">
        <is>
          <t>PK</t>
        </is>
      </c>
      <c r="I41" s="266" t="inlineStr">
        <is>
          <t>Core Backend</t>
        </is>
      </c>
      <c r="J41" s="266" t="inlineStr">
        <is>
          <t>DONE</t>
        </is>
      </c>
    </row>
    <row r="42" ht="15" customHeight="1" s="186">
      <c r="A42" s="266" t="inlineStr">
        <is>
          <t>Products CRUD</t>
        </is>
      </c>
      <c r="B42" s="266" t="inlineStr">
        <is>
          <t>— (none)</t>
        </is>
      </c>
      <c r="C42" s="266" t="inlineStr">
        <is>
          <t>routes/products.ts</t>
        </is>
      </c>
      <c r="D42" s="266" t="inlineStr">
        <is>
          <t>EXISTS</t>
        </is>
      </c>
      <c r="E42" s="266" t="inlineStr">
        <is>
          <t>— (all implemented)</t>
        </is>
      </c>
      <c r="F42" s="266" t="inlineStr">
        <is>
          <t>P2</t>
        </is>
      </c>
      <c r="G42" s="266" t="inlineStr">
        <is>
          <t>☑</t>
        </is>
      </c>
      <c r="H42" s="266" t="inlineStr">
        <is>
          <t>PK</t>
        </is>
      </c>
      <c r="I42" s="266" t="inlineStr">
        <is>
          <t>Core Backend</t>
        </is>
      </c>
      <c r="J42" s="266" t="inlineStr">
        <is>
          <t>DONE</t>
        </is>
      </c>
    </row>
    <row r="43" ht="15" customHeight="1" s="186">
      <c r="A43" s="266" t="inlineStr">
        <is>
          <t>Payments CRUD</t>
        </is>
      </c>
      <c r="B43" s="266" t="inlineStr">
        <is>
          <t>— (none)</t>
        </is>
      </c>
      <c r="C43" s="266" t="inlineStr">
        <is>
          <t>routes/payments.ts</t>
        </is>
      </c>
      <c r="D43" s="266" t="inlineStr">
        <is>
          <t>EXISTS</t>
        </is>
      </c>
      <c r="E43" s="266" t="inlineStr">
        <is>
          <t>— (all implemented)</t>
        </is>
      </c>
      <c r="F43" s="266" t="inlineStr">
        <is>
          <t>P2</t>
        </is>
      </c>
      <c r="G43" s="266" t="inlineStr">
        <is>
          <t>☑</t>
        </is>
      </c>
      <c r="H43" s="266" t="inlineStr">
        <is>
          <t>RG</t>
        </is>
      </c>
      <c r="I43" s="266" t="inlineStr">
        <is>
          <t>Backend</t>
        </is>
      </c>
      <c r="J43" s="266" t="inlineStr">
        <is>
          <t>DONE</t>
        </is>
      </c>
    </row>
    <row r="44" ht="15" customHeight="1" s="186">
      <c r="A44" s="266" t="inlineStr">
        <is>
          <t>Calendar Rules</t>
        </is>
      </c>
      <c r="B44" s="266" t="inlineStr">
        <is>
          <t>— (none)</t>
        </is>
      </c>
      <c r="C44" s="266" t="inlineStr">
        <is>
          <t>routes/calendar-rules.ts</t>
        </is>
      </c>
      <c r="D44" s="266" t="inlineStr">
        <is>
          <t>EXISTS</t>
        </is>
      </c>
      <c r="E44" s="266" t="inlineStr">
        <is>
          <t>— (all implemented)</t>
        </is>
      </c>
      <c r="F44" s="266" t="inlineStr">
        <is>
          <t>P2</t>
        </is>
      </c>
      <c r="G44" s="266" t="inlineStr">
        <is>
          <t>☑</t>
        </is>
      </c>
      <c r="H44" s="266" t="inlineStr">
        <is>
          <t>VS</t>
        </is>
      </c>
      <c r="I44" s="266" t="inlineStr">
        <is>
          <t>Delivery Ops</t>
        </is>
      </c>
      <c r="J44" s="266" t="inlineStr">
        <is>
          <t>DONE</t>
        </is>
      </c>
    </row>
    <row r="45" ht="15" customHeight="1" s="186">
      <c r="A45" s="266" t="inlineStr">
        <is>
          <t>Shipping Profiles</t>
        </is>
      </c>
      <c r="B45" s="266" t="inlineStr">
        <is>
          <t>— (none)</t>
        </is>
      </c>
      <c r="C45" s="266" t="inlineStr">
        <is>
          <t>routes/shipping-profiles.ts</t>
        </is>
      </c>
      <c r="D45" s="266" t="inlineStr">
        <is>
          <t>EXISTS</t>
        </is>
      </c>
      <c r="E45" s="266" t="inlineStr">
        <is>
          <t>— (all implemented)</t>
        </is>
      </c>
      <c r="F45" s="266" t="inlineStr">
        <is>
          <t>Sprint 2.4 - FileStorage (local + S3)</t>
        </is>
      </c>
      <c r="G45" s="266" t="inlineStr">
        <is>
          <t>☑</t>
        </is>
      </c>
      <c r="H45" s="266" t="inlineStr">
        <is>
          <t>VS</t>
        </is>
      </c>
      <c r="I45" s="266" t="inlineStr">
        <is>
          <t>Delivery Ops</t>
        </is>
      </c>
      <c r="J45" s="266" t="inlineStr">
        <is>
          <t>DONE</t>
        </is>
      </c>
    </row>
    <row r="46" ht="15" customHeight="1" s="186">
      <c r="A46" s="266" t="inlineStr">
        <is>
          <t>Analytics</t>
        </is>
      </c>
      <c r="B46" s="266" t="inlineStr">
        <is>
          <t>— (none)</t>
        </is>
      </c>
      <c r="C46" s="266" t="inlineStr">
        <is>
          <t>routes/analytics.ts</t>
        </is>
      </c>
      <c r="D46" s="266" t="inlineStr">
        <is>
          <t>EXISTS</t>
        </is>
      </c>
      <c r="E46" s="266" t="inlineStr">
        <is>
          <t>— (all implemented)</t>
        </is>
      </c>
      <c r="F46" s="266" t="inlineStr">
        <is>
          <t>P3</t>
        </is>
      </c>
      <c r="G46" s="266" t="inlineStr">
        <is>
          <t>☑</t>
        </is>
      </c>
      <c r="H46" s="266" t="inlineStr">
        <is>
          <t>RG</t>
        </is>
      </c>
      <c r="I46" s="266" t="inlineStr">
        <is>
          <t>Backend</t>
        </is>
      </c>
      <c r="J46" s="266" t="inlineStr">
        <is>
          <t>DONE</t>
        </is>
      </c>
    </row>
    <row r="47" ht="15" customHeight="1" s="186">
      <c r="A47" s="266" t="inlineStr">
        <is>
          <t>Activity Logs</t>
        </is>
      </c>
      <c r="B47" s="266" t="inlineStr">
        <is>
          <t>— (none)</t>
        </is>
      </c>
      <c r="C47" s="266" t="inlineStr">
        <is>
          <t>routes/activity-logs.ts</t>
        </is>
      </c>
      <c r="D47" s="266" t="inlineStr">
        <is>
          <t>EXISTS</t>
        </is>
      </c>
      <c r="E47" s="266" t="inlineStr">
        <is>
          <t>— (all implemented)</t>
        </is>
      </c>
      <c r="F47" s="266" t="inlineStr">
        <is>
          <t>P3</t>
        </is>
      </c>
      <c r="G47" s="266" t="inlineStr">
        <is>
          <t>☑</t>
        </is>
      </c>
      <c r="H47" s="266" t="inlineStr">
        <is>
          <t>AR</t>
        </is>
      </c>
      <c r="I47" s="266" t="inlineStr">
        <is>
          <t>Architecture</t>
        </is>
      </c>
      <c r="J47" s="266" t="inlineStr">
        <is>
          <t>DONE</t>
        </is>
      </c>
    </row>
    <row r="48" ht="15" customHeight="1" s="186">
      <c r="A48" s="266" t="inlineStr">
        <is>
          <t>Notification Templates</t>
        </is>
      </c>
      <c r="B48" s="266" t="inlineStr">
        <is>
          <t>— (none)</t>
        </is>
      </c>
      <c r="C48" s="266" t="inlineStr">
        <is>
          <t>routes/notification-templates.ts</t>
        </is>
      </c>
      <c r="D48" s="266" t="inlineStr">
        <is>
          <t>EXISTS</t>
        </is>
      </c>
      <c r="E48" s="266" t="inlineStr">
        <is>
          <t>— (all implemented)</t>
        </is>
      </c>
      <c r="F48" s="266" t="inlineStr">
        <is>
          <t>P2</t>
        </is>
      </c>
      <c r="G48" s="266" t="inlineStr">
        <is>
          <t>☑</t>
        </is>
      </c>
      <c r="H48" s="266" t="inlineStr">
        <is>
          <t>SP</t>
        </is>
      </c>
      <c r="I48" s="266" t="inlineStr">
        <is>
          <t>Integrations</t>
        </is>
      </c>
      <c r="J48" s="266" t="inlineStr">
        <is>
          <t>DONE</t>
        </is>
      </c>
    </row>
    <row r="49" ht="15" customHeight="1" s="186">
      <c r="A49" s="266" t="inlineStr">
        <is>
          <t>Integrations</t>
        </is>
      </c>
      <c r="B49" s="266" t="inlineStr">
        <is>
          <t>— (none)</t>
        </is>
      </c>
      <c r="C49" s="266" t="inlineStr">
        <is>
          <t>routes/integrations.ts</t>
        </is>
      </c>
      <c r="D49" s="266" t="inlineStr">
        <is>
          <t>EXISTS</t>
        </is>
      </c>
      <c r="E49" s="266" t="inlineStr">
        <is>
          <t>— (all implemented)</t>
        </is>
      </c>
      <c r="F49" s="266" t="inlineStr">
        <is>
          <t>P2</t>
        </is>
      </c>
      <c r="G49" s="266" t="inlineStr">
        <is>
          <t>☑</t>
        </is>
      </c>
      <c r="H49" s="266" t="inlineStr">
        <is>
          <t>AM</t>
        </is>
      </c>
      <c r="I49" s="266" t="inlineStr">
        <is>
          <t>Shopify</t>
        </is>
      </c>
      <c r="J49" s="266" t="inlineStr">
        <is>
          <t>DONE</t>
        </is>
      </c>
    </row>
    <row r="50" ht="15" customHeight="1" s="186">
      <c r="A50" s="266" t="inlineStr">
        <is>
          <t>Organizations</t>
        </is>
      </c>
      <c r="B50" s="266" t="inlineStr">
        <is>
          <t>— (none)</t>
        </is>
      </c>
      <c r="C50" s="266" t="inlineStr">
        <is>
          <t>routes/orgs.ts</t>
        </is>
      </c>
      <c r="D50" s="266" t="inlineStr">
        <is>
          <t>EXISTS</t>
        </is>
      </c>
      <c r="E50" s="266" t="inlineStr">
        <is>
          <t>— (all implemented)</t>
        </is>
      </c>
      <c r="F50" s="266" t="inlineStr">
        <is>
          <t>P2</t>
        </is>
      </c>
      <c r="G50" s="266" t="inlineStr">
        <is>
          <t>☑</t>
        </is>
      </c>
      <c r="H50" s="266" t="inlineStr">
        <is>
          <t>AR</t>
        </is>
      </c>
      <c r="I50" s="266" t="inlineStr">
        <is>
          <t>Architecture</t>
        </is>
      </c>
      <c r="J50" s="266" t="inlineStr">
        <is>
          <t>DONE</t>
        </is>
      </c>
    </row>
    <row r="51" ht="15" customHeight="1" s="186">
      <c r="A51" s="266" t="inlineStr">
        <is>
          <t>Health Checks</t>
        </is>
      </c>
      <c r="B51" s="266" t="inlineStr">
        <is>
          <t>— (none)</t>
        </is>
      </c>
      <c r="C51" s="266" t="inlineStr">
        <is>
          <t>routes/health.ts</t>
        </is>
      </c>
      <c r="D51" s="266" t="inlineStr">
        <is>
          <t>EXISTS</t>
        </is>
      </c>
      <c r="E51" s="266" t="inlineStr">
        <is>
          <t>— (liveness + readiness + deep)</t>
        </is>
      </c>
      <c r="F51" s="266" t="inlineStr">
        <is>
          <t>P1</t>
        </is>
      </c>
      <c r="G51" s="266" t="inlineStr">
        <is>
          <t>☑</t>
        </is>
      </c>
      <c r="H51" s="266" t="inlineStr">
        <is>
          <t>RG</t>
        </is>
      </c>
      <c r="I51" s="266" t="inlineStr">
        <is>
          <t>Backend</t>
        </is>
      </c>
      <c r="J51" s="266" t="inlineStr">
        <is>
          <t>DONE</t>
        </is>
      </c>
    </row>
    <row r="53" ht="15" customHeight="1" s="186">
      <c r="A53" s="260" t="inlineStr">
        <is>
          <t>SPRINT 2.8 PLANNED</t>
        </is>
      </c>
    </row>
    <row r="54" ht="15" customHeight="1" s="186">
      <c r="A54" s="185" t="inlineStr">
        <is>
          <t>Auth Provider Registry</t>
        </is>
      </c>
      <c r="B54" s="185" t="inlineStr">
        <is>
          <t>— (new)</t>
        </is>
      </c>
      <c r="C54" s="185" t="inlineStr">
        <is>
          <t>packages/core/src/auth/</t>
        </is>
      </c>
      <c r="D54" s="185" t="inlineStr">
        <is>
          <t>PLANNED</t>
        </is>
      </c>
      <c r="E54" s="185" t="inlineStr">
        <is>
          <t>Multi-provider auth (Auth0, Clerk, Cognito, Firebase Auth, SAML, OIDC) with same BYOK pattern as routing/notifications</t>
        </is>
      </c>
      <c r="F54" s="185" t="inlineStr">
        <is>
          <t>P1</t>
        </is>
      </c>
      <c r="G54" s="185" t="inlineStr">
        <is>
          <t>☐</t>
        </is>
      </c>
      <c r="H54" s="185" t="inlineStr">
        <is>
          <t>AR - Arjun</t>
        </is>
      </c>
    </row>
    <row r="55" ht="15" customHeight="1" s="186">
      <c r="A55" s="185" t="inlineStr">
        <is>
          <t>Platform Admin API</t>
        </is>
      </c>
      <c r="B55" s="185" t="inlineStr">
        <is>
          <t>— (new)</t>
        </is>
      </c>
      <c r="C55" s="185" t="inlineStr">
        <is>
          <t>routes/admin.ts</t>
        </is>
      </c>
      <c r="D55" s="185" t="inlineStr">
        <is>
          <t>PLANNED</t>
        </is>
      </c>
      <c r="E55" s="185" t="inlineStr">
        <is>
          <t>User CRUD, customer management, store oversight, platform metrics, config management</t>
        </is>
      </c>
      <c r="F55" s="185" t="inlineStr">
        <is>
          <t>P1</t>
        </is>
      </c>
      <c r="G55" s="185" t="inlineStr">
        <is>
          <t>☐</t>
        </is>
      </c>
      <c r="H55" s="185" t="inlineStr">
        <is>
          <t>PK - Priya</t>
        </is>
      </c>
    </row>
    <row r="56" ht="15" customHeight="1" s="186">
      <c r="A56" s="185" t="inlineStr">
        <is>
          <t>POS Integration</t>
        </is>
      </c>
      <c r="B56" s="185" t="inlineStr">
        <is>
          <t>pos/posCustomFormService</t>
        </is>
      </c>
      <c r="C56" s="185" t="inlineStr">
        <is>
          <t>routes/pos.ts + core/pos/</t>
        </is>
      </c>
      <c r="D56" s="185" t="inlineStr">
        <is>
          <t>PLANNED</t>
        </is>
      </c>
      <c r="E56" s="185" t="inlineStr">
        <is>
          <t>POS checkout, custom form builder, POS-specific shipping profiles</t>
        </is>
      </c>
      <c r="F56" s="185" t="inlineStr">
        <is>
          <t>P2</t>
        </is>
      </c>
      <c r="G56" s="185" t="inlineStr">
        <is>
          <t>☐</t>
        </is>
      </c>
      <c r="H56" s="185" t="inlineStr">
        <is>
          <t>RG - Rohan</t>
        </is>
      </c>
    </row>
    <row r="57" ht="15" customHeight="1" s="186">
      <c r="A57" s="185" t="inlineStr">
        <is>
          <t>Docker Production Deploy</t>
        </is>
      </c>
      <c r="B57" s="185" t="inlineStr">
        <is>
          <t>— (new)</t>
        </is>
      </c>
      <c r="C57" s="185" t="inlineStr">
        <is>
          <t>infra/docker/</t>
        </is>
      </c>
      <c r="D57" s="185" t="inlineStr">
        <is>
          <t>PLANNED</t>
        </is>
      </c>
      <c r="E57" s="185" t="inlineStr">
        <is>
          <t>Multi-stage Dockerfiles, docker-compose.prod.yml, health checks, env config</t>
        </is>
      </c>
      <c r="F57" s="185" t="inlineStr">
        <is>
          <t>P1</t>
        </is>
      </c>
      <c r="G57" s="185" t="inlineStr">
        <is>
          <t>☐</t>
        </is>
      </c>
      <c r="H57" s="185" t="inlineStr">
        <is>
          <t>AM - Aisha</t>
        </is>
      </c>
    </row>
    <row r="58" ht="15" customHeight="1" s="186">
      <c r="A58" s="185" t="inlineStr">
        <is>
          <t>API Hardening</t>
        </is>
      </c>
      <c r="B58" s="185" t="inlineStr">
        <is>
          <t>— (existing)</t>
        </is>
      </c>
      <c r="C58" s="185" t="inlineStr">
        <is>
          <t>routes/*.ts</t>
        </is>
      </c>
      <c r="D58" s="185" t="inlineStr">
        <is>
          <t>PLANNED</t>
        </is>
      </c>
      <c r="E58" s="185" t="inlineStr">
        <is>
          <t>Zod validation on all routes, error standardization, OpenAPI spec generation</t>
        </is>
      </c>
      <c r="F58" s="185" t="inlineStr">
        <is>
          <t>P1</t>
        </is>
      </c>
      <c r="G58" s="185" t="inlineStr">
        <is>
          <t>☐</t>
        </is>
      </c>
      <c r="H58" s="185" t="inlineStr">
        <is>
          <t>PK - Priya</t>
        </is>
      </c>
    </row>
    <row r="59" ht="15" customHeight="1" s="186">
      <c r="A59" s="185" t="inlineStr">
        <is>
          <t>E2E Test Framework</t>
        </is>
      </c>
      <c r="B59" s="185" t="inlineStr">
        <is>
          <t>— (new)</t>
        </is>
      </c>
      <c r="C59" s="185" t="inlineStr">
        <is>
          <t>tests/e2e/</t>
        </is>
      </c>
      <c r="D59" s="185" t="inlineStr">
        <is>
          <t>PLANNED</t>
        </is>
      </c>
      <c r="E59" s="185" t="inlineStr">
        <is>
          <t>Integration test suites, load testing scripts (k6), CI pipeline</t>
        </is>
      </c>
      <c r="F59" s="185" t="inlineStr">
        <is>
          <t>P2</t>
        </is>
      </c>
      <c r="G59" s="185" t="inlineStr">
        <is>
          <t>☐</t>
        </is>
      </c>
      <c r="H59" s="185" t="inlineStr">
        <is>
          <t>KS - Kavitha</t>
        </is>
      </c>
    </row>
    <row r="61" ht="15" customHeight="1" s="186">
      <c r="A61" s="267" t="inlineStr">
        <is>
          <t>EVENT SYSTEM (Sprint 3.0)</t>
        </is>
      </c>
      <c r="B61" s="268" t="n"/>
      <c r="C61" s="268" t="n"/>
      <c r="D61" s="268" t="n"/>
    </row>
    <row r="62" ht="15" customHeight="1" s="186">
      <c r="A62" s="269" t="inlineStr">
        <is>
          <t>Event Bus</t>
        </is>
      </c>
      <c r="B62" s="269" t="inlineStr">
        <is>
          <t>Typed event emitter + Redis Streams pub/sub</t>
        </is>
      </c>
      <c r="C62" s="269" t="inlineStr">
        <is>
          <t>Sprint 3.0</t>
        </is>
      </c>
      <c r="D62" s="269" t="inlineStr">
        <is>
          <t>Planned</t>
        </is>
      </c>
    </row>
    <row r="63" ht="15" customHeight="1" s="186">
      <c r="A63" s="269" t="inlineStr">
        <is>
          <t>Webhook API</t>
        </is>
      </c>
      <c r="B63" s="269" t="inlineStr">
        <is>
          <t>Registration, delivery, signing, retry routes</t>
        </is>
      </c>
      <c r="C63" s="269" t="inlineStr">
        <is>
          <t>Sprint 3.0</t>
        </is>
      </c>
      <c r="D63" s="269" t="inlineStr">
        <is>
          <t>Planned</t>
        </is>
      </c>
    </row>
    <row r="64" ht="15" customHeight="1" s="186">
      <c r="A64" s="269" t="inlineStr">
        <is>
          <t>Workflow Integration</t>
        </is>
      </c>
      <c r="B64" s="269" t="inlineStr">
        <is>
          <t>Auto-trigger workflows from existing API endpoints</t>
        </is>
      </c>
      <c r="C64" s="269" t="inlineStr">
        <is>
          <t>Sprint 3.0</t>
        </is>
      </c>
      <c r="D64" s="269" t="inlineStr">
        <is>
          <t>Planned</t>
        </is>
      </c>
    </row>
    <row r="65" ht="15" customHeight="1" s="186">
      <c r="A65" s="269" t="inlineStr">
        <is>
          <t>Socket.io Workflow Events</t>
        </is>
      </c>
      <c r="B65" s="269" t="inlineStr">
        <is>
          <t>Real-time workflow progress over WebSocket</t>
        </is>
      </c>
      <c r="C65" s="269" t="inlineStr">
        <is>
          <t>Sprint 3.0</t>
        </is>
      </c>
      <c r="D65" s="269" t="inlineStr">
        <is>
          <t>Planned</t>
        </is>
      </c>
    </row>
    <row r="66" ht="15" customHeight="1" s="186">
      <c r="A66" s="269" t="inlineStr">
        <is>
          <t>Shopify Workflow Bridge</t>
        </is>
      </c>
      <c r="B66" s="269" t="inlineStr">
        <is>
          <t>Shopify order webhook → createDeliveryOrder trigger</t>
        </is>
      </c>
      <c r="C66" s="269" t="inlineStr">
        <is>
          <t>Sprint 3.0</t>
        </is>
      </c>
      <c r="D66" s="269" t="inlineStr">
        <is>
          <t>Planned</t>
        </is>
      </c>
    </row>
  </sheetData>
  <autoFilter ref="A1:J34"/>
  <dataValidations count="3">
    <dataValidation sqref="G2:G34" showDropDown="0" showInputMessage="0" showErrorMessage="0" allowBlank="1" errorTitle="Invalid" error="Use ☐ or ☑" type="list" errorStyle="stop" operator="between">
      <formula1>"☐,☑"</formula1>
      <formula2>0</formula2>
    </dataValidation>
    <dataValidation sqref="H2:H34" showDropDown="0" showInputMessage="0" showErrorMessage="0" allowBlank="1" type="list" errorStyle="stop" operator="between">
      <formula1>"AR,PK,VS,NK,DM,SP,RG,AM,KS,PAIR,ALL"</formula1>
      <formula2>0</formula2>
    </dataValidation>
    <dataValidation sqref="J2:J34" showDropDown="0" showInputMessage="0" showErrorMessage="0" allowBlank="1" type="list" errorStyle="stop" operator="between">
      <formula1>"NOT STARTED,IN PROGRESS,IN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A78BFA"/>
    <outlinePr summaryBelow="1" summaryRight="1"/>
    <pageSetUpPr fitToPage="0"/>
  </sheetPr>
  <dimension ref="A1:J3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6796875" defaultRowHeight="15" customHeight="1" zeroHeight="0" outlineLevelRow="0"/>
  <cols>
    <col width="22" customWidth="1" style="185" min="1" max="1"/>
    <col width="35" customWidth="1" style="185" min="2" max="2"/>
    <col width="30" customWidth="1" style="185" min="3" max="3"/>
    <col width="14" customWidth="1" style="185" min="4" max="4"/>
    <col width="65" customWidth="1" style="185" min="5" max="5"/>
    <col width="8" customWidth="1" style="185" min="6" max="6"/>
    <col width="7" customWidth="1" style="185" min="7" max="7"/>
    <col width="18" customWidth="1" style="185" min="8" max="8"/>
    <col width="16" customWidth="1" style="185" min="9" max="10"/>
  </cols>
  <sheetData>
    <row r="1" ht="26.25" customHeight="1" s="186">
      <c r="A1" s="189" t="inlineStr">
        <is>
          <t>Component</t>
        </is>
      </c>
      <c r="B1" s="189" t="inlineStr">
        <is>
          <t>Old System</t>
        </is>
      </c>
      <c r="C1" s="189" t="inlineStr">
        <is>
          <t>New Platform</t>
        </is>
      </c>
      <c r="D1" s="189" t="inlineStr">
        <is>
          <t>Status</t>
        </is>
      </c>
      <c r="E1" s="189" t="inlineStr">
        <is>
          <t>Action Required</t>
        </is>
      </c>
      <c r="F1" s="189" t="inlineStr">
        <is>
          <t>Priority</t>
        </is>
      </c>
      <c r="G1" s="189" t="inlineStr">
        <is>
          <t>Done</t>
        </is>
      </c>
      <c r="H1" s="189" t="inlineStr">
        <is>
          <t>Assignee</t>
        </is>
      </c>
      <c r="I1" s="189" t="inlineStr">
        <is>
          <t>Squad</t>
        </is>
      </c>
      <c r="J1" s="189" t="inlineStr">
        <is>
          <t>Work Status</t>
        </is>
      </c>
    </row>
    <row r="2" ht="23.25" customHeight="1" s="186">
      <c r="A2" s="222" t="inlineStr">
        <is>
          <t>Database</t>
        </is>
      </c>
      <c r="B2" s="222" t="inlineStr">
        <is>
          <t>MongoDB (Mongoose + speed-goose caching)</t>
        </is>
      </c>
      <c r="C2" s="222" t="inlineStr">
        <is>
          <t>PostgreSQL + Prisma 6</t>
        </is>
      </c>
      <c r="D2" s="222" t="inlineStr">
        <is>
          <t>EXISTS</t>
        </is>
      </c>
      <c r="E2" s="222" t="inlineStr">
        <is>
          <t>Data migration scripts needed for existing customers</t>
        </is>
      </c>
      <c r="F2" s="224" t="inlineStr">
        <is>
          <t>P0</t>
        </is>
      </c>
      <c r="G2" s="225" t="inlineStr">
        <is>
          <t>☑</t>
        </is>
      </c>
      <c r="H2" s="272" t="inlineStr">
        <is>
          <t>AM - Aisha</t>
        </is>
      </c>
      <c r="I2" s="227" t="inlineStr">
        <is>
          <t>Platform</t>
        </is>
      </c>
      <c r="J2" s="228" t="inlineStr">
        <is>
          <t>DONE</t>
        </is>
      </c>
    </row>
    <row r="3" ht="34.5" customHeight="1" s="186">
      <c r="A3" s="196" t="inlineStr">
        <is>
          <t>Message Queue</t>
        </is>
      </c>
      <c r="B3" s="196" t="inlineStr">
        <is>
          <t>Azure Service Bus (9 queues)</t>
        </is>
      </c>
      <c r="C3" s="196" t="inlineStr">
        <is>
          <t>packages/core/src/queue/ (7 consumers + base class)</t>
        </is>
      </c>
      <c r="D3" s="273" t="inlineStr">
        <is>
          <t>EXISTS</t>
        </is>
      </c>
      <c r="E3" s="196" t="inlineStr">
        <is>
          <t>BullMQ consumers: order-webhook, product-webhook, driver-tracking, event-scheduler + DLQ</t>
        </is>
      </c>
      <c r="F3" s="247" t="inlineStr">
        <is>
          <t>P0</t>
        </is>
      </c>
      <c r="G3" s="232" t="inlineStr">
        <is>
          <t>☑</t>
        </is>
      </c>
      <c r="H3" s="274" t="inlineStr">
        <is>
          <t>AM - Aisha</t>
        </is>
      </c>
      <c r="I3" s="197" t="inlineStr">
        <is>
          <t>Platform</t>
        </is>
      </c>
      <c r="J3" s="246" t="inlineStr">
        <is>
          <t>DONE</t>
        </is>
      </c>
    </row>
    <row r="4" ht="23.25" customHeight="1" s="186">
      <c r="A4" s="222" t="inlineStr">
        <is>
          <t>Cache Layer</t>
        </is>
      </c>
      <c r="B4" s="222" t="inlineStr">
        <is>
          <t>Redis (sessions + pub/sub + ORM cache)</t>
        </is>
      </c>
      <c r="C4" s="222" t="inlineStr">
        <is>
          <t>packages/core/src/cache/</t>
        </is>
      </c>
      <c r="D4" s="223" t="inlineStr">
        <is>
          <t>EXISTS</t>
        </is>
      </c>
      <c r="E4" s="222" t="inlineStr">
        <is>
          <t>Redis client exists but caching strategy not implemented; need: session store, query cache, rate limiting, pub/sub for real-time</t>
        </is>
      </c>
      <c r="F4" s="223" t="inlineStr">
        <is>
          <t>P1</t>
        </is>
      </c>
      <c r="G4" s="225" t="inlineStr">
        <is>
          <t>☑</t>
        </is>
      </c>
      <c r="H4" s="272" t="inlineStr">
        <is>
          <t>AM - Aisha</t>
        </is>
      </c>
      <c r="I4" s="227" t="inlineStr">
        <is>
          <t>Platform</t>
        </is>
      </c>
      <c r="J4" s="229" t="inlineStr">
        <is>
          <t>DONE</t>
        </is>
      </c>
    </row>
    <row r="5" ht="23.25" customHeight="1" s="186">
      <c r="A5" s="222" t="inlineStr">
        <is>
          <t>Real-time</t>
        </is>
      </c>
      <c r="B5" s="222" t="inlineStr">
        <is>
          <t>Firebase Realtime Database + WebSocket</t>
        </is>
      </c>
      <c r="C5" s="222" t="inlineStr">
        <is>
          <t>Socket.io realtime layer</t>
        </is>
      </c>
      <c r="D5" s="224" t="inlineStr">
        <is>
          <t>EXISTS</t>
        </is>
      </c>
      <c r="E5" s="222" t="inlineStr">
        <is>
          <t>Need real-time infrastructure: WebSocket/SSE server, driver location streaming, order status push to customers</t>
        </is>
      </c>
      <c r="F5" s="224" t="inlineStr">
        <is>
          <t>P0</t>
        </is>
      </c>
      <c r="G5" s="225" t="inlineStr">
        <is>
          <t>☑</t>
        </is>
      </c>
      <c r="H5" s="272" t="inlineStr">
        <is>
          <t>AM - Aisha</t>
        </is>
      </c>
      <c r="I5" s="227" t="inlineStr">
        <is>
          <t>Platform</t>
        </is>
      </c>
      <c r="J5" s="229" t="inlineStr">
        <is>
          <t>DONE</t>
        </is>
      </c>
    </row>
    <row r="6" ht="23.25" customHeight="1" s="186">
      <c r="A6" s="192" t="inlineStr">
        <is>
          <t>File Storage</t>
        </is>
      </c>
      <c r="B6" s="192" t="inlineStr">
        <is>
          <t>Local + cloud (implied)</t>
        </is>
      </c>
      <c r="C6" s="192" t="inlineStr">
        <is>
          <t>—</t>
        </is>
      </c>
      <c r="D6" s="230" t="inlineStr">
        <is>
          <t>EXISTS</t>
        </is>
      </c>
      <c r="E6" s="192" t="inlineStr">
        <is>
          <t>Sprint 2.4 - Local + S3 file storage</t>
        </is>
      </c>
      <c r="F6" s="254" t="inlineStr">
        <is>
          <t>P1</t>
        </is>
      </c>
      <c r="G6" s="232" t="inlineStr">
        <is>
          <t>☑</t>
        </is>
      </c>
      <c r="H6" s="270" t="inlineStr">
        <is>
          <t>AM - Aisha</t>
        </is>
      </c>
      <c r="I6" s="193" t="inlineStr">
        <is>
          <t>Platform</t>
        </is>
      </c>
      <c r="J6" s="234" t="inlineStr">
        <is>
          <t>DONE</t>
        </is>
      </c>
    </row>
    <row r="7" ht="15" customHeight="1" s="186">
      <c r="A7" s="196" t="inlineStr">
        <is>
          <t>Process Manager</t>
        </is>
      </c>
      <c r="B7" s="196" t="inlineStr">
        <is>
          <t>PM2 (12 processes)</t>
        </is>
      </c>
      <c r="C7" s="196" t="inlineStr">
        <is>
          <t>Single Fastify + BullMQ workers</t>
        </is>
      </c>
      <c r="D7" s="196" t="inlineStr">
        <is>
          <t>EXISTS</t>
        </is>
      </c>
      <c r="E7" s="196" t="inlineStr">
        <is>
          <t>Workers exist as stubs; need full implementations</t>
        </is>
      </c>
      <c r="F7" s="236" t="inlineStr">
        <is>
          <t>Sprint 2.7 - process-manager with 4 workers</t>
        </is>
      </c>
      <c r="G7" s="232" t="inlineStr">
        <is>
          <t>☑</t>
        </is>
      </c>
      <c r="H7" s="274" t="inlineStr">
        <is>
          <t>AM - Aisha</t>
        </is>
      </c>
      <c r="I7" s="197" t="inlineStr">
        <is>
          <t>Platform</t>
        </is>
      </c>
      <c r="J7" s="238" t="inlineStr">
        <is>
          <t>NOT STARTED</t>
        </is>
      </c>
    </row>
    <row r="8" ht="23.25" customHeight="1" s="186">
      <c r="A8" s="222" t="inlineStr">
        <is>
          <t>Geospatial</t>
        </is>
      </c>
      <c r="B8" s="222" t="inlineStr">
        <is>
          <t>Google Maps + Mapbox APIs</t>
        </is>
      </c>
      <c r="C8" s="222" t="inlineStr">
        <is>
          <t>geo-fence.ts + address.ts</t>
        </is>
      </c>
      <c r="D8" s="224" t="inlineStr">
        <is>
          <t>EXISTS</t>
        </is>
      </c>
      <c r="E8" s="222" t="inlineStr">
        <is>
          <t>Re-enable PostGIS, implement geocoding service, distance matrix, route optimization API</t>
        </is>
      </c>
      <c r="F8" s="224" t="inlineStr">
        <is>
          <t>P0</t>
        </is>
      </c>
      <c r="G8" s="225" t="inlineStr">
        <is>
          <t>☑</t>
        </is>
      </c>
      <c r="H8" s="272" t="inlineStr">
        <is>
          <t>AM - Aisha</t>
        </is>
      </c>
      <c r="I8" s="227" t="inlineStr">
        <is>
          <t>Platform</t>
        </is>
      </c>
      <c r="J8" s="229" t="inlineStr">
        <is>
          <t>DONE</t>
        </is>
      </c>
    </row>
    <row r="9" ht="15" customHeight="1" s="186">
      <c r="A9" s="222" t="inlineStr">
        <is>
          <t>Email Provider</t>
        </is>
      </c>
      <c r="B9" s="222" t="inlineStr">
        <is>
          <t>SendGrid / SMTP (via notification service)</t>
        </is>
      </c>
      <c r="C9" s="222" t="inlineStr">
        <is>
          <t>email/providers + dispatch</t>
        </is>
      </c>
      <c r="D9" s="224" t="inlineStr">
        <is>
          <t>EXISTS</t>
        </is>
      </c>
      <c r="E9" s="222" t="inlineStr">
        <is>
          <t>Email sending integration, template rendering, delivery tracking</t>
        </is>
      </c>
      <c r="F9" s="224" t="inlineStr">
        <is>
          <t>P0</t>
        </is>
      </c>
      <c r="G9" s="225" t="inlineStr">
        <is>
          <t>☑</t>
        </is>
      </c>
      <c r="H9" s="240" t="inlineStr">
        <is>
          <t>SP - Sanya</t>
        </is>
      </c>
      <c r="I9" s="227" t="inlineStr">
        <is>
          <t>Integrations</t>
        </is>
      </c>
      <c r="J9" s="229" t="inlineStr">
        <is>
          <t>DONE</t>
        </is>
      </c>
    </row>
    <row r="10" ht="15" customHeight="1" s="186">
      <c r="A10" s="222" t="inlineStr">
        <is>
          <t>SMS Provider</t>
        </is>
      </c>
      <c r="B10" s="222" t="inlineStr">
        <is>
          <t>Twilio (via smsService)</t>
        </is>
      </c>
      <c r="C10" s="222" t="inlineStr">
        <is>
          <t>sms/providers + dispatch</t>
        </is>
      </c>
      <c r="D10" s="224" t="inlineStr">
        <is>
          <t>EXISTS</t>
        </is>
      </c>
      <c r="E10" s="222" t="inlineStr">
        <is>
          <t>SMS sending, delivery receipts, phone number validation</t>
        </is>
      </c>
      <c r="F10" s="223" t="inlineStr">
        <is>
          <t>P1</t>
        </is>
      </c>
      <c r="G10" s="225" t="inlineStr">
        <is>
          <t>☑</t>
        </is>
      </c>
      <c r="H10" s="240" t="inlineStr">
        <is>
          <t>SP - Sanya</t>
        </is>
      </c>
      <c r="I10" s="227" t="inlineStr">
        <is>
          <t>Integrations</t>
        </is>
      </c>
      <c r="J10" s="229" t="inlineStr">
        <is>
          <t>DONE</t>
        </is>
      </c>
    </row>
    <row r="11" ht="23.25" customHeight="1" s="186">
      <c r="A11" s="196" t="inlineStr">
        <is>
          <t>WhatsApp</t>
        </is>
      </c>
      <c r="B11" s="196" t="inlineStr">
        <is>
          <t>Meta Cloud API (via whatsApp services)</t>
        </is>
      </c>
      <c r="C11" s="196" t="inlineStr">
        <is>
          <t>—</t>
        </is>
      </c>
      <c r="D11" s="230" t="inlineStr">
        <is>
          <t>MISSING</t>
        </is>
      </c>
      <c r="E11" s="196" t="inlineStr">
        <is>
          <t>WhatsApp Business API: template management, message sending, webhook handling</t>
        </is>
      </c>
      <c r="F11" s="236" t="inlineStr">
        <is>
          <t>P1</t>
        </is>
      </c>
      <c r="G11" s="232" t="inlineStr">
        <is>
          <t>☑</t>
        </is>
      </c>
      <c r="H11" s="253" t="inlineStr">
        <is>
          <t>SP - Sanya</t>
        </is>
      </c>
      <c r="I11" s="197" t="inlineStr">
        <is>
          <t>Integrations</t>
        </is>
      </c>
      <c r="J11" s="238" t="inlineStr">
        <is>
          <t>DONE</t>
        </is>
      </c>
    </row>
    <row r="12" ht="15" customHeight="1" s="186">
      <c r="A12" s="192" t="inlineStr">
        <is>
          <t>Push Notifications</t>
        </is>
      </c>
      <c r="B12" s="192" t="inlineStr">
        <is>
          <t>Firebase Cloud Messaging</t>
        </is>
      </c>
      <c r="C12" s="192" t="inlineStr">
        <is>
          <t>push-handler.ts (FCM)</t>
        </is>
      </c>
      <c r="D12" s="230" t="inlineStr">
        <is>
          <t>PARTIAL</t>
        </is>
      </c>
      <c r="E12" s="192" t="inlineStr">
        <is>
          <t>FCM integration for driver app push notifications</t>
        </is>
      </c>
      <c r="F12" s="254" t="inlineStr">
        <is>
          <t>P1</t>
        </is>
      </c>
      <c r="G12" s="232" t="inlineStr">
        <is>
          <t>☑</t>
        </is>
      </c>
      <c r="H12" s="251" t="inlineStr">
        <is>
          <t>SP - Sanya</t>
        </is>
      </c>
      <c r="I12" s="193" t="inlineStr">
        <is>
          <t>Integrations</t>
        </is>
      </c>
      <c r="J12" s="234" t="inlineStr">
        <is>
          <t>DONE</t>
        </is>
      </c>
    </row>
    <row r="13" ht="23.25" customHeight="1" s="186">
      <c r="A13" s="222" t="inlineStr">
        <is>
          <t>Authentication</t>
        </is>
      </c>
      <c r="B13" s="222" t="inlineStr">
        <is>
          <t>JWT + cookie sessions + Shopify session tokens</t>
        </is>
      </c>
      <c r="C13" s="222" t="inlineStr">
        <is>
          <t>JWT + requireAuth middleware</t>
        </is>
      </c>
      <c r="D13" s="223" t="inlineStr">
        <is>
          <t>EXISTS</t>
        </is>
      </c>
      <c r="E13" s="222" t="inlineStr">
        <is>
          <t>Need: JWT implementation, refresh tokens, Shopify session bridge, dashboard auth middleware</t>
        </is>
      </c>
      <c r="F13" s="224" t="inlineStr">
        <is>
          <t>P0</t>
        </is>
      </c>
      <c r="G13" s="225" t="inlineStr">
        <is>
          <t>☑</t>
        </is>
      </c>
      <c r="H13" s="235" t="inlineStr">
        <is>
          <t>AR - Arjun</t>
        </is>
      </c>
      <c r="I13" s="227" t="inlineStr">
        <is>
          <t>Architecture</t>
        </is>
      </c>
      <c r="J13" s="228" t="inlineStr">
        <is>
          <t>DONE</t>
        </is>
      </c>
    </row>
    <row r="14" ht="15" customHeight="1" s="186">
      <c r="A14" s="192" t="inlineStr">
        <is>
          <t>Rate Limiting</t>
        </is>
      </c>
      <c r="B14" s="192" t="inlineStr">
        <is>
          <t>stopcock library</t>
        </is>
      </c>
      <c r="C14" s="192" t="inlineStr">
        <is>
          <t>—</t>
        </is>
      </c>
      <c r="D14" s="230" t="inlineStr">
        <is>
          <t>EXISTS</t>
        </is>
      </c>
      <c r="E14" s="192" t="inlineStr">
        <is>
          <t>Sprint 2.4 - Token bucket rate limiter</t>
        </is>
      </c>
      <c r="F14" s="254" t="inlineStr">
        <is>
          <t>P1</t>
        </is>
      </c>
      <c r="G14" s="232" t="inlineStr">
        <is>
          <t>☑</t>
        </is>
      </c>
      <c r="H14" s="270" t="inlineStr">
        <is>
          <t>AM - Aisha</t>
        </is>
      </c>
      <c r="I14" s="193" t="inlineStr">
        <is>
          <t>Platform</t>
        </is>
      </c>
      <c r="J14" s="234" t="inlineStr">
        <is>
          <t>DONE</t>
        </is>
      </c>
    </row>
    <row r="15" ht="15" customHeight="1" s="186">
      <c r="A15" s="196" t="inlineStr">
        <is>
          <t>Monitoring</t>
        </is>
      </c>
      <c r="B15" s="196" t="inlineStr">
        <is>
          <t>Sentry + FullStory</t>
        </is>
      </c>
      <c r="C15" s="196" t="inlineStr">
        <is>
          <t>—</t>
        </is>
      </c>
      <c r="D15" s="230" t="inlineStr">
        <is>
          <t>EXISTS</t>
        </is>
      </c>
      <c r="E15" s="196" t="inlineStr">
        <is>
          <t>Sprint 2.4 - MetricsCollector + HealthCheckRegistry</t>
        </is>
      </c>
      <c r="F15" s="252" t="inlineStr">
        <is>
          <t>P2</t>
        </is>
      </c>
      <c r="G15" s="232" t="inlineStr">
        <is>
          <t>☑</t>
        </is>
      </c>
      <c r="H15" s="274" t="inlineStr">
        <is>
          <t>AM - Aisha</t>
        </is>
      </c>
      <c r="I15" s="197" t="inlineStr">
        <is>
          <t>Platform</t>
        </is>
      </c>
      <c r="J15" s="238" t="inlineStr">
        <is>
          <t>DONE</t>
        </is>
      </c>
    </row>
    <row r="16" ht="15" customHeight="1" s="186">
      <c r="A16" s="222" t="inlineStr">
        <is>
          <t>CI/CD</t>
        </is>
      </c>
      <c r="B16" s="222" t="inlineStr">
        <is>
          <t>Docker + AWS/Azure scripts</t>
        </is>
      </c>
      <c r="C16" s="222" t="inlineStr">
        <is>
          <t>Dockerfile + CI/CD + docker-compose</t>
        </is>
      </c>
      <c r="D16" s="224" t="inlineStr">
        <is>
          <t>EXISTS</t>
        </is>
      </c>
      <c r="E16" s="222" t="inlineStr">
        <is>
          <t>Sprint 2.3 - GitHub Actions workflows</t>
        </is>
      </c>
      <c r="F16" s="223" t="inlineStr">
        <is>
          <t>P1</t>
        </is>
      </c>
      <c r="G16" s="225" t="inlineStr">
        <is>
          <t>☑</t>
        </is>
      </c>
      <c r="H16" s="272" t="inlineStr">
        <is>
          <t>AM - Aisha</t>
        </is>
      </c>
      <c r="I16" s="227" t="inlineStr">
        <is>
          <t>Platform</t>
        </is>
      </c>
      <c r="J16" s="229" t="inlineStr">
        <is>
          <t>DONE</t>
        </is>
      </c>
    </row>
    <row r="17" ht="15" customHeight="1" s="186">
      <c r="A17" s="196" t="inlineStr">
        <is>
          <t>Data Migration</t>
        </is>
      </c>
      <c r="B17" s="196" t="inlineStr">
        <is>
          <t>—</t>
        </is>
      </c>
      <c r="C17" s="196" t="inlineStr">
        <is>
          <t>packages/core/src/migration/ (mongodb-adapter, transformers, runner-v2)</t>
        </is>
      </c>
      <c r="D17" s="230" t="inlineStr">
        <is>
          <t>EXISTS</t>
        </is>
      </c>
      <c r="E17" s="196" t="inlineStr">
        <is>
          <t>MongoDB→PostgreSQL with idempotent upsert, checkpointing, 7 entity transformers</t>
        </is>
      </c>
      <c r="F17" s="247" t="inlineStr">
        <is>
          <t>P0</t>
        </is>
      </c>
      <c r="G17" s="232" t="inlineStr">
        <is>
          <t>☑</t>
        </is>
      </c>
      <c r="H17" s="258" t="inlineStr">
        <is>
          <t>PK - Priya</t>
        </is>
      </c>
      <c r="I17" s="197" t="inlineStr">
        <is>
          <t>Core Backend</t>
        </is>
      </c>
      <c r="J17" s="246" t="inlineStr">
        <is>
          <t>DONE</t>
        </is>
      </c>
    </row>
    <row r="18" ht="23.25" customHeight="1" s="186">
      <c r="A18" s="192" t="inlineStr">
        <is>
          <t>PostGIS Extension</t>
        </is>
      </c>
      <c r="B18" s="192" t="inlineStr">
        <is>
          <t>N/A (used Google/Mapbox)</t>
        </is>
      </c>
      <c r="C18" s="192" t="inlineStr">
        <is>
          <t>packages/core/src/spatial/ (PostGIS queries + GeoJSON types)</t>
        </is>
      </c>
      <c r="D18" s="230" t="inlineStr">
        <is>
          <t>EXISTS</t>
        </is>
      </c>
      <c r="E18" s="192" t="inlineStr">
        <is>
          <t>Parameterized SQL for ST_Distance, ST_Contains, ST_Within; Haversine fallback</t>
        </is>
      </c>
      <c r="F18" s="231" t="inlineStr">
        <is>
          <t>P0</t>
        </is>
      </c>
      <c r="G18" s="232" t="inlineStr">
        <is>
          <t>☑</t>
        </is>
      </c>
      <c r="H18" s="270" t="inlineStr">
        <is>
          <t>AM - Aisha</t>
        </is>
      </c>
      <c r="I18" s="193" t="inlineStr">
        <is>
          <t>Platform</t>
        </is>
      </c>
      <c r="J18" s="246" t="inlineStr">
        <is>
          <t>DONE</t>
        </is>
      </c>
    </row>
    <row r="19" ht="23.25" customHeight="1" s="186">
      <c r="A19" s="196" t="inlineStr">
        <is>
          <t>Cron / Scheduler</t>
        </is>
      </c>
      <c r="B19" s="196" t="inlineStr">
        <is>
          <t>PM2 cron + event scheduler queue</t>
        </is>
      </c>
      <c r="C19" s="196" t="inlineStr">
        <is>
          <t>—</t>
        </is>
      </c>
      <c r="D19" s="230" t="inlineStr">
        <is>
          <t>EXISTS</t>
        </is>
      </c>
      <c r="E19" s="196" t="inlineStr">
        <is>
          <t>Sprint 2.4 - Cron-based scheduler</t>
        </is>
      </c>
      <c r="F19" s="236" t="inlineStr">
        <is>
          <t>P1</t>
        </is>
      </c>
      <c r="G19" s="232" t="inlineStr">
        <is>
          <t>☑</t>
        </is>
      </c>
      <c r="H19" s="274" t="inlineStr">
        <is>
          <t>AM - Aisha</t>
        </is>
      </c>
      <c r="I19" s="197" t="inlineStr">
        <is>
          <t>Platform</t>
        </is>
      </c>
      <c r="J19" s="238" t="inlineStr">
        <is>
          <t>DONE</t>
        </is>
      </c>
    </row>
    <row r="20" ht="15" customHeight="1" s="186">
      <c r="A20" s="192" t="inlineStr">
        <is>
          <t>Logging</t>
        </is>
      </c>
      <c r="B20" s="192" t="inlineStr">
        <is>
          <t>Console + implied</t>
        </is>
      </c>
      <c r="C20" s="192" t="inlineStr">
        <is>
          <t>—</t>
        </is>
      </c>
      <c r="D20" s="230" t="inlineStr">
        <is>
          <t>MISSING</t>
        </is>
      </c>
      <c r="E20" s="192" t="inlineStr">
        <is>
          <t>Structured logging (Pino), log aggregation, request tracing</t>
        </is>
      </c>
      <c r="F20" s="250" t="inlineStr">
        <is>
          <t>P2</t>
        </is>
      </c>
      <c r="G20" s="232" t="inlineStr">
        <is>
          <t>☑</t>
        </is>
      </c>
      <c r="H20" s="270" t="inlineStr">
        <is>
          <t>AM - Aisha</t>
        </is>
      </c>
      <c r="I20" s="193" t="inlineStr">
        <is>
          <t>Platform</t>
        </is>
      </c>
      <c r="J20" s="234" t="inlineStr">
        <is>
          <t>DONE</t>
        </is>
      </c>
    </row>
    <row r="21" ht="23.25" customHeight="1" s="186">
      <c r="A21" s="196" t="inlineStr">
        <is>
          <t>Encryption</t>
        </is>
      </c>
      <c r="B21" s="196" t="inlineStr">
        <is>
          <t>Implied for tokens</t>
        </is>
      </c>
      <c r="C21" s="196" t="inlineStr">
        <is>
          <t>Planned for credentials</t>
        </is>
      </c>
      <c r="D21" s="273" t="inlineStr">
        <is>
          <t>PARTIAL</t>
        </is>
      </c>
      <c r="E21" s="196" t="inlineStr">
        <is>
          <t>Need: credential encryption at rest (Integration model), token encryption, PII protection</t>
        </is>
      </c>
      <c r="F21" s="236" t="inlineStr">
        <is>
          <t>P1</t>
        </is>
      </c>
      <c r="G21" s="232" t="inlineStr">
        <is>
          <t>☑</t>
        </is>
      </c>
      <c r="H21" s="237" t="inlineStr">
        <is>
          <t>AR - Arjun</t>
        </is>
      </c>
      <c r="I21" s="197" t="inlineStr">
        <is>
          <t>Architecture</t>
        </is>
      </c>
      <c r="J21" s="238" t="inlineStr">
        <is>
          <t>DONE</t>
        </is>
      </c>
    </row>
    <row r="22" ht="15" customHeight="1" s="186">
      <c r="A22" s="266" t="inlineStr">
        <is>
          <t>GDPR Compliance</t>
        </is>
      </c>
      <c r="B22" s="266" t="inlineStr">
        <is>
          <t>— (none)</t>
        </is>
      </c>
      <c r="C22" s="266" t="inlineStr">
        <is>
          <t>packages/core/src/compliance/</t>
        </is>
      </c>
      <c r="D22" s="266" t="inlineStr">
        <is>
          <t>EXISTS</t>
        </is>
      </c>
      <c r="E22" s="266" t="inlineStr">
        <is>
          <t>— (anonymizer, consent, retention, audit)</t>
        </is>
      </c>
      <c r="F22" s="266" t="inlineStr">
        <is>
          <t>P2</t>
        </is>
      </c>
      <c r="G22" s="266" t="inlineStr">
        <is>
          <t>☑</t>
        </is>
      </c>
      <c r="H22" s="266" t="inlineStr">
        <is>
          <t>DM</t>
        </is>
      </c>
      <c r="I22" s="266" t="inlineStr">
        <is>
          <t>Data</t>
        </is>
      </c>
      <c r="J22" s="266" t="inlineStr">
        <is>
          <t>DONE</t>
        </is>
      </c>
    </row>
    <row r="23" ht="15" customHeight="1" s="186">
      <c r="A23" s="266" t="inlineStr">
        <is>
          <t>HMAC Webhook Verification</t>
        </is>
      </c>
      <c r="B23" s="266" t="inlineStr">
        <is>
          <t>— (none)</t>
        </is>
      </c>
      <c r="C23" s="266" t="inlineStr">
        <is>
          <t>middleware/hmac.ts</t>
        </is>
      </c>
      <c r="D23" s="266" t="inlineStr">
        <is>
          <t>EXISTS</t>
        </is>
      </c>
      <c r="E23" s="266" t="inlineStr">
        <is>
          <t>— (Shopify HMAC validation)</t>
        </is>
      </c>
      <c r="F23" s="266" t="inlineStr">
        <is>
          <t>P1</t>
        </is>
      </c>
      <c r="G23" s="266" t="inlineStr">
        <is>
          <t>☑</t>
        </is>
      </c>
      <c r="H23" s="266" t="inlineStr">
        <is>
          <t>RG</t>
        </is>
      </c>
      <c r="I23" s="266" t="inlineStr">
        <is>
          <t>Backend</t>
        </is>
      </c>
      <c r="J23" s="266" t="inlineStr">
        <is>
          <t>DONE</t>
        </is>
      </c>
    </row>
    <row r="24" ht="15" customHeight="1" s="186">
      <c r="A24" s="266" t="inlineStr">
        <is>
          <t>E2E Test Suites</t>
        </is>
      </c>
      <c r="B24" s="266" t="inlineStr">
        <is>
          <t>— (none)</t>
        </is>
      </c>
      <c r="C24" s="266" t="inlineStr">
        <is>
          <t>7 test files (4,439 lines)</t>
        </is>
      </c>
      <c r="D24" s="266" t="inlineStr">
        <is>
          <t>EXISTS</t>
        </is>
      </c>
      <c r="E24" s="266" t="inlineStr">
        <is>
          <t>— (compliance, cache, API tests)</t>
        </is>
      </c>
      <c r="F24" s="266" t="inlineStr">
        <is>
          <t>P2</t>
        </is>
      </c>
      <c r="G24" s="266" t="inlineStr">
        <is>
          <t>☑</t>
        </is>
      </c>
      <c r="H24" s="266" t="inlineStr">
        <is>
          <t>KS</t>
        </is>
      </c>
      <c r="I24" s="266" t="inlineStr">
        <is>
          <t>QA</t>
        </is>
      </c>
      <c r="J24" s="266" t="inlineStr">
        <is>
          <t>DONE</t>
        </is>
      </c>
    </row>
    <row r="26" ht="15" customHeight="1" s="186">
      <c r="A26" s="260" t="inlineStr">
        <is>
          <t>SPRINT 2.8 PLANNED</t>
        </is>
      </c>
    </row>
    <row r="27" ht="15" customHeight="1" s="186">
      <c r="A27" s="185" t="inlineStr">
        <is>
          <t>Auth Provider Abstraction</t>
        </is>
      </c>
      <c r="B27" s="185" t="inlineStr">
        <is>
          <t>— (new)</t>
        </is>
      </c>
      <c r="C27" s="185" t="inlineStr">
        <is>
          <t>packages/core/src/auth/</t>
        </is>
      </c>
      <c r="D27" s="185" t="inlineStr">
        <is>
          <t>PLANNED</t>
        </is>
      </c>
      <c r="E27" s="185" t="inlineStr">
        <is>
          <t>Multi-provider auth registry: Auth0, Clerk, AWS Cognito, Firebase Auth, generic OIDC, SAML 2.0 — same pattern as routing BYOK</t>
        </is>
      </c>
      <c r="F27" s="185" t="inlineStr">
        <is>
          <t>P1</t>
        </is>
      </c>
      <c r="G27" s="185" t="inlineStr">
        <is>
          <t>☐</t>
        </is>
      </c>
      <c r="H27" s="185" t="inlineStr">
        <is>
          <t>AR - Arjun</t>
        </is>
      </c>
    </row>
    <row r="28" ht="15" customHeight="1" s="186">
      <c r="A28" s="185" t="inlineStr">
        <is>
          <t>Docker Production Stack</t>
        </is>
      </c>
      <c r="B28" s="185" t="inlineStr">
        <is>
          <t>Docker + Azure scripts</t>
        </is>
      </c>
      <c r="C28" s="185" t="inlineStr">
        <is>
          <t>infra/docker/</t>
        </is>
      </c>
      <c r="D28" s="185" t="inlineStr">
        <is>
          <t>PLANNED</t>
        </is>
      </c>
      <c r="E28" s="185" t="inlineStr">
        <is>
          <t>Multi-stage Dockerfiles, compose.prod.yml, Traefik reverse proxy, health checks, secrets management</t>
        </is>
      </c>
      <c r="F28" s="185" t="inlineStr">
        <is>
          <t>P1</t>
        </is>
      </c>
      <c r="G28" s="185" t="inlineStr">
        <is>
          <t>☐</t>
        </is>
      </c>
      <c r="H28" s="185" t="inlineStr">
        <is>
          <t>AM - Aisha</t>
        </is>
      </c>
    </row>
    <row r="29" ht="15" customHeight="1" s="186">
      <c r="A29" s="185" t="inlineStr">
        <is>
          <t>OpenAPI Spec</t>
        </is>
      </c>
      <c r="B29" s="185" t="inlineStr">
        <is>
          <t>— (new)</t>
        </is>
      </c>
      <c r="C29" s="185" t="inlineStr">
        <is>
          <t>docs/openapi.yaml</t>
        </is>
      </c>
      <c r="D29" s="185" t="inlineStr">
        <is>
          <t>PLANNED</t>
        </is>
      </c>
      <c r="E29" s="185" t="inlineStr">
        <is>
          <t>Auto-generated OpenAPI 3.1 spec from Fastify schemas, Swagger UI at /docs</t>
        </is>
      </c>
      <c r="F29" s="185" t="inlineStr">
        <is>
          <t>P2</t>
        </is>
      </c>
      <c r="G29" s="185" t="inlineStr">
        <is>
          <t>☐</t>
        </is>
      </c>
      <c r="H29" s="185" t="inlineStr">
        <is>
          <t>PK - Priya</t>
        </is>
      </c>
    </row>
    <row r="31" ht="15" customHeight="1" s="186">
      <c r="A31" s="267" t="inlineStr">
        <is>
          <t>DESIGN SYSTEM INFRA (Sprint 3.0)</t>
        </is>
      </c>
      <c r="B31" s="268" t="n"/>
      <c r="C31" s="268" t="n"/>
      <c r="D31" s="268" t="n"/>
    </row>
    <row r="32" ht="15" customHeight="1" s="186">
      <c r="A32" s="269" t="inlineStr">
        <is>
          <t>Tailwind CSS 4</t>
        </is>
      </c>
      <c r="B32" s="269" t="inlineStr">
        <is>
          <t>PostCSS + Tailwind setup with --wl-* token bridge</t>
        </is>
      </c>
      <c r="C32" s="269" t="inlineStr">
        <is>
          <t>Sprint 3.0</t>
        </is>
      </c>
      <c r="D32" s="269" t="inlineStr">
        <is>
          <t>Planned</t>
        </is>
      </c>
    </row>
    <row r="33" ht="15" customHeight="1" s="186">
      <c r="A33" s="269" t="inlineStr">
        <is>
          <t>shadcn/ui Registry</t>
        </is>
      </c>
      <c r="B33" s="269" t="inlineStr">
        <is>
          <t>Component registry with Witylogix dark theme preset</t>
        </is>
      </c>
      <c r="C33" s="269" t="inlineStr">
        <is>
          <t>Sprint 3.0</t>
        </is>
      </c>
      <c r="D33" s="269" t="inlineStr">
        <is>
          <t>Planned</t>
        </is>
      </c>
    </row>
    <row r="34" ht="15" customHeight="1" s="186">
      <c r="A34" s="269" t="inlineStr">
        <is>
          <t>Redis Streams</t>
        </is>
      </c>
      <c r="B34" s="269" t="inlineStr">
        <is>
          <t>Event bus persistence layer for reliable pub/sub</t>
        </is>
      </c>
      <c r="C34" s="269" t="inlineStr">
        <is>
          <t>Sprint 3.0</t>
        </is>
      </c>
      <c r="D34" s="269" t="inlineStr">
        <is>
          <t>Planned</t>
        </is>
      </c>
    </row>
  </sheetData>
  <autoFilter ref="A1:J21"/>
  <dataValidations count="3">
    <dataValidation sqref="G2:G21" showDropDown="0" showInputMessage="0" showErrorMessage="0" allowBlank="1" errorTitle="Invalid" error="Use ☐ or ☑" type="list" errorStyle="stop" operator="between">
      <formula1>"☐,☑"</formula1>
      <formula2>0</formula2>
    </dataValidation>
    <dataValidation sqref="H2:H21" showDropDown="0" showInputMessage="0" showErrorMessage="0" allowBlank="1" type="list" errorStyle="stop" operator="between">
      <formula1>"AR,PK,VS,NK,DM,SP,RG,AM,KS,PAIR,ALL"</formula1>
      <formula2>0</formula2>
    </dataValidation>
    <dataValidation sqref="J2:J21" showDropDown="0" showInputMessage="0" showErrorMessage="0" allowBlank="1" type="list" errorStyle="stop" operator="between">
      <formula1>"NOT STARTED,IN PROGRESS,IN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4ADE80"/>
    <outlinePr summaryBelow="1" summaryRight="1"/>
    <pageSetUpPr fitToPage="0"/>
  </sheetPr>
  <dimension ref="A1:K11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13" activePane="bottomLeft" state="frozen"/>
      <selection pane="topLeft" activeCell="A1" activeCellId="0" sqref="A1"/>
      <selection pane="bottomLeft" activeCell="A1" activeCellId="0" sqref="A1"/>
    </sheetView>
  </sheetViews>
  <sheetFormatPr baseColWidth="8" defaultColWidth="8.66796875" defaultRowHeight="15" customHeight="1" zeroHeight="0" outlineLevelRow="0"/>
  <cols>
    <col width="22" customWidth="1" style="185" min="1" max="1"/>
    <col width="10" customWidth="1" style="185" min="2" max="2"/>
    <col width="55" customWidth="1" style="185" min="3" max="3"/>
    <col width="20" customWidth="1" style="185" min="4" max="4"/>
    <col width="12" customWidth="1" style="185" min="5" max="5"/>
    <col width="28" customWidth="1" style="185" min="6" max="6"/>
    <col width="50" customWidth="1" style="185" min="7" max="7"/>
    <col width="7" customWidth="1" style="185" min="8" max="8"/>
    <col width="18" customWidth="1" style="185" min="9" max="9"/>
    <col width="16" customWidth="1" style="185" min="10" max="11"/>
  </cols>
  <sheetData>
    <row r="1" ht="15" customHeight="1" s="186">
      <c r="A1" s="189" t="inlineStr">
        <is>
          <t>Phase</t>
        </is>
      </c>
      <c r="B1" s="189" t="inlineStr">
        <is>
          <t>Sprint</t>
        </is>
      </c>
      <c r="C1" s="189" t="inlineStr">
        <is>
          <t>Work Item</t>
        </is>
      </c>
      <c r="D1" s="189" t="inlineStr">
        <is>
          <t>Category</t>
        </is>
      </c>
      <c r="E1" s="189" t="inlineStr">
        <is>
          <t>Est. Effort</t>
        </is>
      </c>
      <c r="F1" s="189" t="inlineStr">
        <is>
          <t>Dependencies</t>
        </is>
      </c>
      <c r="G1" s="189" t="inlineStr">
        <is>
          <t>Deliverable</t>
        </is>
      </c>
      <c r="H1" s="189" t="inlineStr">
        <is>
          <t>Done</t>
        </is>
      </c>
      <c r="I1" s="189" t="inlineStr">
        <is>
          <t>Assignee</t>
        </is>
      </c>
      <c r="J1" s="189" t="inlineStr">
        <is>
          <t>Squad</t>
        </is>
      </c>
      <c r="K1" s="189" t="inlineStr">
        <is>
          <t>Work Status</t>
        </is>
      </c>
    </row>
    <row r="2" ht="15" customHeight="1" s="186">
      <c r="A2" s="224" t="inlineStr">
        <is>
          <t>Phase 1: Foundation</t>
        </is>
      </c>
      <c r="B2" s="222" t="inlineStr">
        <is>
          <t>1-2</t>
        </is>
      </c>
      <c r="C2" s="222" t="inlineStr">
        <is>
          <t>Authentication system (JWT, login, register, password reset)</t>
        </is>
      </c>
      <c r="D2" s="222" t="inlineStr">
        <is>
          <t>Backend + Frontend</t>
        </is>
      </c>
      <c r="E2" s="222" t="inlineStr">
        <is>
          <t>2 weeks</t>
        </is>
      </c>
      <c r="F2" s="222" t="inlineStr">
        <is>
          <t>—</t>
        </is>
      </c>
      <c r="G2" s="222" t="inlineStr">
        <is>
          <t>Auth middleware, login/register pages, session management</t>
        </is>
      </c>
      <c r="H2" s="225" t="inlineStr">
        <is>
          <t>☑</t>
        </is>
      </c>
      <c r="I2" s="235" t="inlineStr">
        <is>
          <t>AR - Arjun</t>
        </is>
      </c>
      <c r="J2" s="227" t="inlineStr">
        <is>
          <t>Architecture</t>
        </is>
      </c>
      <c r="K2" s="229" t="inlineStr">
        <is>
          <t>DONE</t>
        </is>
      </c>
    </row>
    <row r="3" ht="15" customHeight="1" s="186">
      <c r="A3" s="224" t="inlineStr">
        <is>
          <t>Phase 1: Foundation</t>
        </is>
      </c>
      <c r="B3" s="222" t="inlineStr">
        <is>
          <t>1-2</t>
        </is>
      </c>
      <c r="C3" s="222" t="inlineStr">
        <is>
          <t>PostGIS re-enable + geocoding service</t>
        </is>
      </c>
      <c r="D3" s="222" t="inlineStr">
        <is>
          <t>Backend + Infra</t>
        </is>
      </c>
      <c r="E3" s="222" t="inlineStr">
        <is>
          <t>1 week</t>
        </is>
      </c>
      <c r="F3" s="222" t="inlineStr">
        <is>
          <t>—</t>
        </is>
      </c>
      <c r="G3" s="222" t="inlineStr">
        <is>
          <t>Spatial queries, point-in-polygon, distance calc</t>
        </is>
      </c>
      <c r="H3" s="225" t="inlineStr">
        <is>
          <t>☑</t>
        </is>
      </c>
      <c r="I3" s="272" t="inlineStr">
        <is>
          <t>AM - Aisha</t>
        </is>
      </c>
      <c r="J3" s="227" t="inlineStr">
        <is>
          <t>Platform</t>
        </is>
      </c>
      <c r="K3" s="229" t="inlineStr">
        <is>
          <t>DONE</t>
        </is>
      </c>
    </row>
    <row r="4" ht="15" customHeight="1" s="186">
      <c r="A4" s="224" t="inlineStr">
        <is>
          <t>Phase 1: Foundation</t>
        </is>
      </c>
      <c r="B4" s="222" t="inlineStr">
        <is>
          <t>1-2</t>
        </is>
      </c>
      <c r="C4" s="222" t="inlineStr">
        <is>
          <t>Shipment model + migration</t>
        </is>
      </c>
      <c r="D4" s="222" t="inlineStr">
        <is>
          <t>Backend</t>
        </is>
      </c>
      <c r="E4" s="222" t="inlineStr">
        <is>
          <t>1 week</t>
        </is>
      </c>
      <c r="F4" s="222" t="inlineStr">
        <is>
          <t>—</t>
        </is>
      </c>
      <c r="G4" s="222" t="inlineStr">
        <is>
          <t>Prisma schema + API routes for shipments</t>
        </is>
      </c>
      <c r="H4" s="225" t="inlineStr">
        <is>
          <t>☑</t>
        </is>
      </c>
      <c r="I4" s="226" t="inlineStr">
        <is>
          <t>PK - Priya</t>
        </is>
      </c>
      <c r="J4" s="227" t="inlineStr">
        <is>
          <t>Core Backend</t>
        </is>
      </c>
      <c r="K4" s="229" t="inlineStr">
        <is>
          <t>DONE</t>
        </is>
      </c>
    </row>
    <row r="5" ht="15" customHeight="1" s="186">
      <c r="A5" s="224" t="inlineStr">
        <is>
          <t>Phase 1: Foundation</t>
        </is>
      </c>
      <c r="B5" s="222" t="inlineStr">
        <is>
          <t>2-3</t>
        </is>
      </c>
      <c r="C5" s="222" t="inlineStr">
        <is>
          <t>Location/Warehouse model + CRUD</t>
        </is>
      </c>
      <c r="D5" s="222" t="inlineStr">
        <is>
          <t>Backend + Frontend</t>
        </is>
      </c>
      <c r="E5" s="222" t="inlineStr">
        <is>
          <t>2 weeks</t>
        </is>
      </c>
      <c r="F5" s="222" t="inlineStr">
        <is>
          <t>PostGIS</t>
        </is>
      </c>
      <c r="G5" s="222" t="inlineStr">
        <is>
          <t>Location management pages + API</t>
        </is>
      </c>
      <c r="H5" s="225" t="inlineStr">
        <is>
          <t>☑</t>
        </is>
      </c>
      <c r="I5" s="249" t="inlineStr">
        <is>
          <t>VS - Vikram</t>
        </is>
      </c>
      <c r="J5" s="227" t="inlineStr">
        <is>
          <t>Core Backend</t>
        </is>
      </c>
      <c r="K5" s="229" t="inlineStr">
        <is>
          <t>DONE</t>
        </is>
      </c>
    </row>
    <row r="6" ht="15" customHeight="1" s="186">
      <c r="A6" s="224" t="inlineStr">
        <is>
          <t>Phase 1: Foundation</t>
        </is>
      </c>
      <c r="B6" s="222" t="inlineStr">
        <is>
          <t>2-3</t>
        </is>
      </c>
      <c r="C6" s="222" t="inlineStr">
        <is>
          <t>Calendar rules + delivery rules engine</t>
        </is>
      </c>
      <c r="D6" s="222" t="inlineStr">
        <is>
          <t>Backend</t>
        </is>
      </c>
      <c r="E6" s="222" t="inlineStr">
        <is>
          <t>2 weeks</t>
        </is>
      </c>
      <c r="F6" s="222" t="inlineStr">
        <is>
          <t>—</t>
        </is>
      </c>
      <c r="G6" s="222" t="inlineStr">
        <is>
          <t>Scheduling engine, blackout dates, time windows</t>
        </is>
      </c>
      <c r="H6" s="225" t="inlineStr">
        <is>
          <t>☑</t>
        </is>
      </c>
      <c r="I6" s="249" t="inlineStr">
        <is>
          <t>VS - Vikram</t>
        </is>
      </c>
      <c r="J6" s="227" t="inlineStr">
        <is>
          <t>Core Backend</t>
        </is>
      </c>
      <c r="K6" s="229" t="inlineStr">
        <is>
          <t>DONE</t>
        </is>
      </c>
    </row>
    <row r="7" ht="15" customHeight="1" s="186">
      <c r="A7" s="224" t="inlineStr">
        <is>
          <t>Phase 1: Foundation</t>
        </is>
      </c>
      <c r="B7" s="222" t="inlineStr">
        <is>
          <t>3-4</t>
        </is>
      </c>
      <c r="C7" s="222" t="inlineStr">
        <is>
          <t>Shipping profile system</t>
        </is>
      </c>
      <c r="D7" s="222" t="inlineStr">
        <is>
          <t>Backend + Frontend</t>
        </is>
      </c>
      <c r="E7" s="222" t="inlineStr">
        <is>
          <t>2 weeks</t>
        </is>
      </c>
      <c r="F7" s="222" t="inlineStr">
        <is>
          <t>Locations, Zones, Rules</t>
        </is>
      </c>
      <c r="G7" s="222" t="inlineStr">
        <is>
          <t>Rate calculation, profile management UI</t>
        </is>
      </c>
      <c r="H7" s="225" t="inlineStr">
        <is>
          <t>☑</t>
        </is>
      </c>
      <c r="I7" s="249" t="inlineStr">
        <is>
          <t>VS - Vikram</t>
        </is>
      </c>
      <c r="J7" s="227" t="inlineStr">
        <is>
          <t>Core Backend</t>
        </is>
      </c>
      <c r="K7" s="229" t="inlineStr">
        <is>
          <t>DONE</t>
        </is>
      </c>
    </row>
    <row r="8" ht="15" customHeight="1" s="186">
      <c r="A8" s="223" t="inlineStr">
        <is>
          <t>Phase 2: Core Ops</t>
        </is>
      </c>
      <c r="B8" s="222" t="inlineStr">
        <is>
          <t>5-6</t>
        </is>
      </c>
      <c r="C8" s="222" t="inlineStr">
        <is>
          <t>Order CRUD (full lifecycle + manual creation)</t>
        </is>
      </c>
      <c r="D8" s="222" t="inlineStr">
        <is>
          <t>Backend + Frontend</t>
        </is>
      </c>
      <c r="E8" s="222" t="inlineStr">
        <is>
          <t>2 weeks</t>
        </is>
      </c>
      <c r="F8" s="222" t="inlineStr">
        <is>
          <t>Auth</t>
        </is>
      </c>
      <c r="G8" s="222" t="inlineStr">
        <is>
          <t>Order create page, detail page, status management</t>
        </is>
      </c>
      <c r="H8" s="225" t="inlineStr">
        <is>
          <t>☑</t>
        </is>
      </c>
      <c r="I8" s="226" t="inlineStr">
        <is>
          <t>PK - Priya</t>
        </is>
      </c>
      <c r="J8" s="227" t="inlineStr">
        <is>
          <t>Core Backend</t>
        </is>
      </c>
      <c r="K8" s="229" t="inlineStr">
        <is>
          <t>DONE</t>
        </is>
      </c>
    </row>
    <row r="9" ht="15" customHeight="1" s="186">
      <c r="A9" s="223" t="inlineStr">
        <is>
          <t>Phase 2: Core Ops</t>
        </is>
      </c>
      <c r="B9" s="222" t="inlineStr">
        <is>
          <t>5-6</t>
        </is>
      </c>
      <c r="C9" s="222" t="inlineStr">
        <is>
          <t>Shipment lifecycle (create, track, deliver)</t>
        </is>
      </c>
      <c r="D9" s="222" t="inlineStr">
        <is>
          <t>Backend + Frontend</t>
        </is>
      </c>
      <c r="E9" s="222" t="inlineStr">
        <is>
          <t>3 weeks</t>
        </is>
      </c>
      <c r="F9" s="222" t="inlineStr">
        <is>
          <t>Shipment model, Orders</t>
        </is>
      </c>
      <c r="G9" s="222" t="inlineStr">
        <is>
          <t>Shipment pages, status transitions, POD</t>
        </is>
      </c>
      <c r="H9" s="225" t="inlineStr">
        <is>
          <t>☑</t>
        </is>
      </c>
      <c r="I9" s="226" t="inlineStr">
        <is>
          <t>PK - Priya</t>
        </is>
      </c>
      <c r="J9" s="227" t="inlineStr">
        <is>
          <t>Core Backend</t>
        </is>
      </c>
      <c r="K9" s="229" t="inlineStr">
        <is>
          <t>DONE</t>
        </is>
      </c>
    </row>
    <row r="10" ht="15" customHeight="1" s="186">
      <c r="A10" s="223" t="inlineStr">
        <is>
          <t>Phase 2: Core Ops</t>
        </is>
      </c>
      <c r="B10" s="222" t="inlineStr">
        <is>
          <t>6-7</t>
        </is>
      </c>
      <c r="C10" s="222" t="inlineStr">
        <is>
          <t>Route optimization (Mapbox/Google integration)</t>
        </is>
      </c>
      <c r="D10" s="222" t="inlineStr">
        <is>
          <t>Backend</t>
        </is>
      </c>
      <c r="E10" s="222" t="inlineStr">
        <is>
          <t>2 weeks</t>
        </is>
      </c>
      <c r="F10" s="222" t="inlineStr">
        <is>
          <t>PostGIS, Drivers</t>
        </is>
      </c>
      <c r="G10" s="222" t="inlineStr">
        <is>
          <t>Distance matrix, route optimization API</t>
        </is>
      </c>
      <c r="H10" s="225" t="inlineStr">
        <is>
          <t>☑</t>
        </is>
      </c>
      <c r="I10" s="249" t="inlineStr">
        <is>
          <t>VS - Vikram</t>
        </is>
      </c>
      <c r="J10" s="227" t="inlineStr">
        <is>
          <t>Core Backend</t>
        </is>
      </c>
      <c r="K10" s="229" t="inlineStr">
        <is>
          <t>DONE</t>
        </is>
      </c>
    </row>
    <row r="11" ht="15" customHeight="1" s="186">
      <c r="A11" s="223" t="inlineStr">
        <is>
          <t>Phase 2: Core Ops</t>
        </is>
      </c>
      <c r="B11" s="222" t="inlineStr">
        <is>
          <t>7-8</t>
        </is>
      </c>
      <c r="C11" s="222" t="inlineStr">
        <is>
          <t>Route creation + editing UI</t>
        </is>
      </c>
      <c r="D11" s="222" t="inlineStr">
        <is>
          <t>Frontend</t>
        </is>
      </c>
      <c r="E11" s="222" t="inlineStr">
        <is>
          <t>2 weeks</t>
        </is>
      </c>
      <c r="F11" s="222" t="inlineStr">
        <is>
          <t>Route optimization</t>
        </is>
      </c>
      <c r="G11" s="222" t="inlineStr">
        <is>
          <t>Route create/edit pages with map + drag/drop</t>
        </is>
      </c>
      <c r="H11" s="225" t="inlineStr">
        <is>
          <t>☑</t>
        </is>
      </c>
      <c r="I11" s="262" t="inlineStr">
        <is>
          <t>DM - Dev</t>
        </is>
      </c>
      <c r="J11" s="227" t="inlineStr">
        <is>
          <t>Frontend</t>
        </is>
      </c>
      <c r="K11" s="229" t="inlineStr">
        <is>
          <t>DONE</t>
        </is>
      </c>
    </row>
    <row r="12" ht="15" customHeight="1" s="186">
      <c r="A12" s="223" t="inlineStr">
        <is>
          <t>Phase 2: Core Ops</t>
        </is>
      </c>
      <c r="B12" s="222" t="inlineStr">
        <is>
          <t>7-8</t>
        </is>
      </c>
      <c r="C12" s="222" t="inlineStr">
        <is>
          <t>Webhook processing (order, product, customer, inventory)</t>
        </is>
      </c>
      <c r="D12" s="222" t="inlineStr">
        <is>
          <t>Backend</t>
        </is>
      </c>
      <c r="E12" s="222" t="inlineStr">
        <is>
          <t>2 weeks</t>
        </is>
      </c>
      <c r="F12" s="222" t="inlineStr">
        <is>
          <t>BullMQ</t>
        </is>
      </c>
      <c r="G12" s="222" t="inlineStr">
        <is>
          <t>Queue consumers for each Shopify webhook type</t>
        </is>
      </c>
      <c r="H12" s="225" t="inlineStr">
        <is>
          <t>☑</t>
        </is>
      </c>
      <c r="I12" s="226" t="inlineStr">
        <is>
          <t>PK - Priya</t>
        </is>
      </c>
      <c r="J12" s="227" t="inlineStr">
        <is>
          <t>Core Backend</t>
        </is>
      </c>
      <c r="K12" s="229" t="inlineStr">
        <is>
          <t>DONE</t>
        </is>
      </c>
    </row>
    <row r="13" ht="15" customHeight="1" s="186">
      <c r="A13" s="223" t="inlineStr">
        <is>
          <t>Phase 2: Core Ops</t>
        </is>
      </c>
      <c r="B13" s="222" t="inlineStr">
        <is>
          <t>8-9</t>
        </is>
      </c>
      <c r="C13" s="222" t="inlineStr">
        <is>
          <t>Shopify sync engine (orders, products, customers, inventory)</t>
        </is>
      </c>
      <c r="D13" s="222" t="inlineStr">
        <is>
          <t>Backend</t>
        </is>
      </c>
      <c r="E13" s="222" t="inlineStr">
        <is>
          <t>3 weeks</t>
        </is>
      </c>
      <c r="F13" s="222" t="inlineStr">
        <is>
          <t>Webhooks, Models</t>
        </is>
      </c>
      <c r="G13" s="222" t="inlineStr">
        <is>
          <t>Full bidirectional Shopify sync</t>
        </is>
      </c>
      <c r="H13" s="225" t="inlineStr">
        <is>
          <t>☑</t>
        </is>
      </c>
      <c r="I13" s="226" t="inlineStr">
        <is>
          <t>PK - Priya</t>
        </is>
      </c>
      <c r="J13" s="227" t="inlineStr">
        <is>
          <t>Core Backend</t>
        </is>
      </c>
      <c r="K13" s="229" t="inlineStr">
        <is>
          <t>DONE</t>
        </is>
      </c>
    </row>
    <row r="14" ht="15" customHeight="1" s="186">
      <c r="A14" s="239" t="inlineStr">
        <is>
          <t>Phase 3: Comms</t>
        </is>
      </c>
      <c r="B14" s="222" t="inlineStr">
        <is>
          <t>10-11</t>
        </is>
      </c>
      <c r="C14" s="222" t="inlineStr">
        <is>
          <t>Email dispatch (SendGrid/SMTP)</t>
        </is>
      </c>
      <c r="D14" s="222" t="inlineStr">
        <is>
          <t>Backend</t>
        </is>
      </c>
      <c r="E14" s="222" t="inlineStr">
        <is>
          <t>1 week</t>
        </is>
      </c>
      <c r="F14" s="222" t="inlineStr">
        <is>
          <t>—</t>
        </is>
      </c>
      <c r="G14" s="222" t="inlineStr">
        <is>
          <t>Email sending service + template rendering</t>
        </is>
      </c>
      <c r="H14" s="225" t="inlineStr">
        <is>
          <t>☑</t>
        </is>
      </c>
      <c r="I14" s="240" t="inlineStr">
        <is>
          <t>SP - Sanya</t>
        </is>
      </c>
      <c r="J14" s="227" t="inlineStr">
        <is>
          <t>Integrations</t>
        </is>
      </c>
      <c r="K14" s="229" t="inlineStr">
        <is>
          <t>DONE</t>
        </is>
      </c>
    </row>
    <row r="15" ht="15" customHeight="1" s="186">
      <c r="A15" s="239" t="inlineStr">
        <is>
          <t>Phase 3: Comms</t>
        </is>
      </c>
      <c r="B15" s="222" t="inlineStr">
        <is>
          <t>10-11</t>
        </is>
      </c>
      <c r="C15" s="222" t="inlineStr">
        <is>
          <t>SMS dispatch (Twilio)</t>
        </is>
      </c>
      <c r="D15" s="222" t="inlineStr">
        <is>
          <t>Backend</t>
        </is>
      </c>
      <c r="E15" s="222" t="inlineStr">
        <is>
          <t>1 week</t>
        </is>
      </c>
      <c r="F15" s="222" t="inlineStr">
        <is>
          <t>—</t>
        </is>
      </c>
      <c r="G15" s="222" t="inlineStr">
        <is>
          <t>SMS sending service</t>
        </is>
      </c>
      <c r="H15" s="225" t="inlineStr">
        <is>
          <t>☑</t>
        </is>
      </c>
      <c r="I15" s="240" t="inlineStr">
        <is>
          <t>SP - Sanya</t>
        </is>
      </c>
      <c r="J15" s="227" t="inlineStr">
        <is>
          <t>Integrations</t>
        </is>
      </c>
      <c r="K15" s="229" t="inlineStr">
        <is>
          <t>DONE</t>
        </is>
      </c>
    </row>
    <row r="16" ht="15" customHeight="1" s="186">
      <c r="A16" s="250" t="inlineStr">
        <is>
          <t>Phase 3: Comms</t>
        </is>
      </c>
      <c r="B16" s="192" t="inlineStr">
        <is>
          <t>11-12</t>
        </is>
      </c>
      <c r="C16" s="192" t="inlineStr">
        <is>
          <t>WhatsApp integration (Meta Cloud)</t>
        </is>
      </c>
      <c r="D16" s="192" t="inlineStr">
        <is>
          <t>Backend</t>
        </is>
      </c>
      <c r="E16" s="192" t="inlineStr">
        <is>
          <t>2 weeks</t>
        </is>
      </c>
      <c r="F16" s="192" t="inlineStr">
        <is>
          <t>—</t>
        </is>
      </c>
      <c r="G16" s="192" t="inlineStr">
        <is>
          <t>WhatsApp template sync + message dispatch</t>
        </is>
      </c>
      <c r="H16" s="232" t="inlineStr">
        <is>
          <t>☑</t>
        </is>
      </c>
      <c r="I16" s="251" t="inlineStr">
        <is>
          <t>SP - Sanya</t>
        </is>
      </c>
      <c r="J16" s="193" t="inlineStr">
        <is>
          <t>Integrations</t>
        </is>
      </c>
      <c r="K16" s="234" t="inlineStr">
        <is>
          <t>DONE</t>
        </is>
      </c>
    </row>
    <row r="17" ht="15" customHeight="1" s="186">
      <c r="A17" s="239" t="inlineStr">
        <is>
          <t>Phase 3: Comms</t>
        </is>
      </c>
      <c r="B17" s="222" t="inlineStr">
        <is>
          <t>11-12</t>
        </is>
      </c>
      <c r="C17" s="222" t="inlineStr">
        <is>
          <t>Push notifications (Firebase)</t>
        </is>
      </c>
      <c r="D17" s="222" t="inlineStr">
        <is>
          <t>Backend</t>
        </is>
      </c>
      <c r="E17" s="222" t="inlineStr">
        <is>
          <t>1 week</t>
        </is>
      </c>
      <c r="F17" s="222" t="inlineStr">
        <is>
          <t>—</t>
        </is>
      </c>
      <c r="G17" s="222" t="inlineStr">
        <is>
          <t>FCM integration for driver app</t>
        </is>
      </c>
      <c r="H17" s="225" t="inlineStr">
        <is>
          <t>☑</t>
        </is>
      </c>
      <c r="I17" s="240" t="inlineStr">
        <is>
          <t>SP - Sanya</t>
        </is>
      </c>
      <c r="J17" s="227" t="inlineStr">
        <is>
          <t>Integrations</t>
        </is>
      </c>
      <c r="K17" s="229" t="inlineStr">
        <is>
          <t>DONE</t>
        </is>
      </c>
    </row>
    <row r="18" ht="15" customHeight="1" s="186">
      <c r="A18" s="239" t="inlineStr">
        <is>
          <t>Phase 3: Comms</t>
        </is>
      </c>
      <c r="B18" s="222" t="inlineStr">
        <is>
          <t>12-13</t>
        </is>
      </c>
      <c r="C18" s="222" t="inlineStr">
        <is>
          <t>Notification template editor</t>
        </is>
      </c>
      <c r="D18" s="222" t="inlineStr">
        <is>
          <t>Frontend</t>
        </is>
      </c>
      <c r="E18" s="222" t="inlineStr">
        <is>
          <t>2 weeks</t>
        </is>
      </c>
      <c r="F18" s="222" t="inlineStr">
        <is>
          <t>Email service</t>
        </is>
      </c>
      <c r="G18" s="222" t="inlineStr">
        <is>
          <t>Unlayer email editor, template management UI</t>
        </is>
      </c>
      <c r="H18" s="225" t="inlineStr">
        <is>
          <t>☑</t>
        </is>
      </c>
      <c r="I18" s="240" t="inlineStr">
        <is>
          <t>SP - Sanya</t>
        </is>
      </c>
      <c r="J18" s="227" t="inlineStr">
        <is>
          <t>Integrations</t>
        </is>
      </c>
      <c r="K18" s="229" t="inlineStr">
        <is>
          <t>DONE</t>
        </is>
      </c>
    </row>
    <row r="19" ht="15" customHeight="1" s="186">
      <c r="A19" s="239" t="inlineStr">
        <is>
          <t>Phase 3: Comms</t>
        </is>
      </c>
      <c r="B19" s="222" t="inlineStr">
        <is>
          <t>12-13</t>
        </is>
      </c>
      <c r="C19" s="222" t="inlineStr">
        <is>
          <t>Real-time driver tracking</t>
        </is>
      </c>
      <c r="D19" s="222" t="inlineStr">
        <is>
          <t>Backend + Frontend</t>
        </is>
      </c>
      <c r="E19" s="222" t="inlineStr">
        <is>
          <t>2 weeks</t>
        </is>
      </c>
      <c r="F19" s="222" t="inlineStr">
        <is>
          <t>Firebase/WebSocket</t>
        </is>
      </c>
      <c r="G19" s="222" t="inlineStr">
        <is>
          <t>Live driver location on dashboard maps</t>
        </is>
      </c>
      <c r="H19" s="225" t="inlineStr">
        <is>
          <t>☑</t>
        </is>
      </c>
      <c r="I19" s="257" t="inlineStr">
        <is>
          <t>PAIR</t>
        </is>
      </c>
      <c r="J19" s="227" t="inlineStr">
        <is>
          <t>Cross-team</t>
        </is>
      </c>
      <c r="K19" s="229" t="inlineStr">
        <is>
          <t>DONE</t>
        </is>
      </c>
    </row>
    <row r="20" ht="15" customHeight="1" s="186">
      <c r="A20" s="275" t="inlineStr">
        <is>
          <t>Phase 4: Commerce</t>
        </is>
      </c>
      <c r="B20" s="222" t="inlineStr">
        <is>
          <t>14-15</t>
        </is>
      </c>
      <c r="C20" s="222" t="inlineStr">
        <is>
          <t>Product + Customer models + sync</t>
        </is>
      </c>
      <c r="D20" s="222" t="inlineStr">
        <is>
          <t>Backend</t>
        </is>
      </c>
      <c r="E20" s="222" t="inlineStr">
        <is>
          <t>2 weeks</t>
        </is>
      </c>
      <c r="F20" s="222" t="inlineStr">
        <is>
          <t>Shopify sync</t>
        </is>
      </c>
      <c r="G20" s="222" t="inlineStr">
        <is>
          <t>Product catalog, customer database</t>
        </is>
      </c>
      <c r="H20" s="225" t="inlineStr">
        <is>
          <t>☑</t>
        </is>
      </c>
      <c r="I20" s="226" t="inlineStr">
        <is>
          <t>PK - Priya</t>
        </is>
      </c>
      <c r="J20" s="227" t="inlineStr">
        <is>
          <t>Core Backend</t>
        </is>
      </c>
      <c r="K20" s="229" t="inlineStr">
        <is>
          <t>DONE</t>
        </is>
      </c>
    </row>
    <row r="21" ht="15" customHeight="1" s="186">
      <c r="A21" s="276" t="inlineStr">
        <is>
          <t>Phase 4: Commerce</t>
        </is>
      </c>
      <c r="B21" s="277" t="inlineStr">
        <is>
          <t>14-15</t>
        </is>
      </c>
      <c r="C21" s="277" t="inlineStr">
        <is>
          <t>Payment processing (COD + gateway)</t>
        </is>
      </c>
      <c r="D21" s="277" t="inlineStr">
        <is>
          <t>Backend</t>
        </is>
      </c>
      <c r="E21" s="277" t="inlineStr">
        <is>
          <t>2 weeks</t>
        </is>
      </c>
      <c r="F21" s="277" t="inlineStr">
        <is>
          <t>Orders, Shipments</t>
        </is>
      </c>
      <c r="G21" s="277" t="inlineStr">
        <is>
          <t>Payment gateway, COD, transaction tracking</t>
        </is>
      </c>
      <c r="H21" s="278" t="inlineStr">
        <is>
          <t>☑</t>
        </is>
      </c>
      <c r="I21" s="279" t="inlineStr">
        <is>
          <t>RG - Rohan</t>
        </is>
      </c>
      <c r="J21" s="280" t="inlineStr">
        <is>
          <t>Integrations</t>
        </is>
      </c>
      <c r="K21" s="246" t="inlineStr">
        <is>
          <t>DONE</t>
        </is>
      </c>
    </row>
    <row r="22" ht="15" customHeight="1" s="186">
      <c r="A22" s="275" t="inlineStr">
        <is>
          <t>Phase 4: Commerce</t>
        </is>
      </c>
      <c r="B22" s="222" t="inlineStr">
        <is>
          <t>15-16</t>
        </is>
      </c>
      <c r="C22" s="222" t="inlineStr">
        <is>
          <t>Carrier rate calculation engine</t>
        </is>
      </c>
      <c r="D22" s="222" t="inlineStr">
        <is>
          <t>Backend</t>
        </is>
      </c>
      <c r="E22" s="222" t="inlineStr">
        <is>
          <t>2 weeks</t>
        </is>
      </c>
      <c r="F22" s="222" t="inlineStr">
        <is>
          <t>Shipping profiles</t>
        </is>
      </c>
      <c r="G22" s="222" t="inlineStr">
        <is>
          <t>Multi-carrier comparison, Shopify carrier callback</t>
        </is>
      </c>
      <c r="H22" s="225" t="inlineStr">
        <is>
          <t>☑</t>
        </is>
      </c>
      <c r="I22" s="249" t="inlineStr">
        <is>
          <t>VS - Vikram</t>
        </is>
      </c>
      <c r="J22" s="227" t="inlineStr">
        <is>
          <t>Core Backend</t>
        </is>
      </c>
      <c r="K22" s="229" t="inlineStr">
        <is>
          <t>DONE</t>
        </is>
      </c>
    </row>
    <row r="23" ht="15" customHeight="1" s="186">
      <c r="A23" s="281" t="inlineStr">
        <is>
          <t>Phase 4: Commerce</t>
        </is>
      </c>
      <c r="B23" s="196" t="inlineStr">
        <is>
          <t>15-16</t>
        </is>
      </c>
      <c r="C23" s="196" t="inlineStr">
        <is>
          <t>Cart plugin / storefront widget</t>
        </is>
      </c>
      <c r="D23" s="196" t="inlineStr">
        <is>
          <t>Backend + Frontend</t>
        </is>
      </c>
      <c r="E23" s="196" t="inlineStr">
        <is>
          <t>2 weeks</t>
        </is>
      </c>
      <c r="F23" s="196" t="inlineStr">
        <is>
          <t>Rates, Time slots</t>
        </is>
      </c>
      <c r="G23" s="196" t="inlineStr">
        <is>
          <t>Checkout date picker, rate display widget</t>
        </is>
      </c>
      <c r="H23" s="232" t="inlineStr">
        <is>
          <t>☑</t>
        </is>
      </c>
      <c r="I23" s="263" t="inlineStr">
        <is>
          <t>DM - Dev</t>
        </is>
      </c>
      <c r="J23" s="197" t="inlineStr">
        <is>
          <t>Frontend</t>
        </is>
      </c>
      <c r="K23" s="238" t="inlineStr">
        <is>
          <t>DONE</t>
        </is>
      </c>
    </row>
    <row r="24" ht="15" customHeight="1" s="186">
      <c r="A24" s="282" t="inlineStr">
        <is>
          <t>Phase 4: Commerce</t>
        </is>
      </c>
      <c r="B24" s="192" t="inlineStr">
        <is>
          <t>16-17</t>
        </is>
      </c>
      <c r="C24" s="192" t="inlineStr">
        <is>
          <t>Inventory tracking system</t>
        </is>
      </c>
      <c r="D24" s="192" t="inlineStr">
        <is>
          <t>Backend</t>
        </is>
      </c>
      <c r="E24" s="192" t="inlineStr">
        <is>
          <t>2 weeks</t>
        </is>
      </c>
      <c r="F24" s="192" t="inlineStr">
        <is>
          <t>Products, Locations</t>
        </is>
      </c>
      <c r="G24" s="192" t="inlineStr">
        <is>
          <t>Inventory by location, reorder points, sync</t>
        </is>
      </c>
      <c r="H24" s="232" t="inlineStr">
        <is>
          <t>☑</t>
        </is>
      </c>
      <c r="I24" s="233" t="inlineStr">
        <is>
          <t>PK - Priya</t>
        </is>
      </c>
      <c r="J24" s="193" t="inlineStr">
        <is>
          <t>Core Backend</t>
        </is>
      </c>
      <c r="K24" s="234" t="inlineStr">
        <is>
          <t>DONE</t>
        </is>
      </c>
    </row>
    <row r="25" ht="15" customHeight="1" s="186">
      <c r="A25" s="283" t="inlineStr">
        <is>
          <t>Phase 5: Admin</t>
        </is>
      </c>
      <c r="B25" s="222" t="inlineStr">
        <is>
          <t>18-19</t>
        </is>
      </c>
      <c r="C25" s="222" t="inlineStr">
        <is>
          <t>Analytics engine + dashboard data</t>
        </is>
      </c>
      <c r="D25" s="222" t="inlineStr">
        <is>
          <t>Backend + Frontend</t>
        </is>
      </c>
      <c r="E25" s="222" t="inlineStr">
        <is>
          <t>2 weeks</t>
        </is>
      </c>
      <c r="F25" s="222" t="inlineStr">
        <is>
          <t>Orders, Shipments</t>
        </is>
      </c>
      <c r="G25" s="222" t="inlineStr">
        <is>
          <t>Time-series aggregation, chart data APIs</t>
        </is>
      </c>
      <c r="H25" s="225" t="inlineStr">
        <is>
          <t>☑</t>
        </is>
      </c>
      <c r="I25" s="257" t="inlineStr">
        <is>
          <t>RG - Rohan</t>
        </is>
      </c>
      <c r="J25" s="227" t="inlineStr">
        <is>
          <t>Integrations</t>
        </is>
      </c>
      <c r="K25" s="229" t="inlineStr">
        <is>
          <t>DONE</t>
        </is>
      </c>
    </row>
    <row r="26" ht="15" customHeight="1" s="186">
      <c r="A26" s="283" t="inlineStr">
        <is>
          <t>Phase 5: Admin</t>
        </is>
      </c>
      <c r="B26" s="222" t="inlineStr">
        <is>
          <t>18-19</t>
        </is>
      </c>
      <c r="C26" s="222" t="inlineStr">
        <is>
          <t>Billing &amp; plans system</t>
        </is>
      </c>
      <c r="D26" s="222" t="inlineStr">
        <is>
          <t>Backend + Frontend</t>
        </is>
      </c>
      <c r="E26" s="222" t="inlineStr">
        <is>
          <t>2 weeks</t>
        </is>
      </c>
      <c r="F26" s="222" t="inlineStr">
        <is>
          <t>Shopify billing API</t>
        </is>
      </c>
      <c r="G26" s="222" t="inlineStr">
        <is>
          <t>Plan catalog, usage metering, upgrade flow</t>
        </is>
      </c>
      <c r="H26" s="225" t="inlineStr">
        <is>
          <t>☑</t>
        </is>
      </c>
      <c r="I26" s="257" t="inlineStr">
        <is>
          <t>RG - Rohan</t>
        </is>
      </c>
      <c r="J26" s="227" t="inlineStr">
        <is>
          <t>Integrations</t>
        </is>
      </c>
      <c r="K26" s="229" t="inlineStr">
        <is>
          <t>DONE</t>
        </is>
      </c>
    </row>
    <row r="27" ht="15" customHeight="1" s="186">
      <c r="A27" s="283" t="inlineStr">
        <is>
          <t>Phase 5: Admin</t>
        </is>
      </c>
      <c r="B27" s="222" t="inlineStr">
        <is>
          <t>19-20</t>
        </is>
      </c>
      <c r="C27" s="222" t="inlineStr">
        <is>
          <t>Audit trail / history system</t>
        </is>
      </c>
      <c r="D27" s="222" t="inlineStr">
        <is>
          <t>Backend</t>
        </is>
      </c>
      <c r="E27" s="222" t="inlineStr">
        <is>
          <t>1 week</t>
        </is>
      </c>
      <c r="F27" s="222" t="inlineStr">
        <is>
          <t>—</t>
        </is>
      </c>
      <c r="G27" s="222" t="inlineStr">
        <is>
          <t>Activity logging, entity change tracking</t>
        </is>
      </c>
      <c r="H27" s="225" t="inlineStr">
        <is>
          <t>☑</t>
        </is>
      </c>
      <c r="I27" s="235" t="inlineStr">
        <is>
          <t>AR - Arjun</t>
        </is>
      </c>
      <c r="J27" s="227" t="inlineStr">
        <is>
          <t>Architecture</t>
        </is>
      </c>
      <c r="K27" s="229" t="inlineStr">
        <is>
          <t>DONE</t>
        </is>
      </c>
    </row>
    <row r="28" ht="15" customHeight="1" s="186">
      <c r="A28" s="283" t="inlineStr">
        <is>
          <t>Phase 5: Admin</t>
        </is>
      </c>
      <c r="B28" s="222" t="inlineStr">
        <is>
          <t>19-20</t>
        </is>
      </c>
      <c r="C28" s="222" t="inlineStr">
        <is>
          <t>User invitation + RBAC</t>
        </is>
      </c>
      <c r="D28" s="222" t="inlineStr">
        <is>
          <t>Backend + Frontend</t>
        </is>
      </c>
      <c r="E28" s="222" t="inlineStr">
        <is>
          <t>2 weeks</t>
        </is>
      </c>
      <c r="F28" s="222" t="inlineStr">
        <is>
          <t>Users model</t>
        </is>
      </c>
      <c r="G28" s="222" t="inlineStr">
        <is>
          <t>Invite flow, role assignment, permissions matrix</t>
        </is>
      </c>
      <c r="H28" s="225" t="inlineStr">
        <is>
          <t>☑</t>
        </is>
      </c>
      <c r="I28" s="235" t="inlineStr">
        <is>
          <t>AR - Arjun</t>
        </is>
      </c>
      <c r="J28" s="227" t="inlineStr">
        <is>
          <t>Architecture</t>
        </is>
      </c>
      <c r="K28" s="229" t="inlineStr">
        <is>
          <t>DONE</t>
        </is>
      </c>
    </row>
    <row r="29" ht="15" customHeight="1" s="186">
      <c r="A29" s="283" t="inlineStr">
        <is>
          <t>Phase 5: Admin</t>
        </is>
      </c>
      <c r="B29" s="222" t="inlineStr">
        <is>
          <t>20-21</t>
        </is>
      </c>
      <c r="C29" s="222" t="inlineStr">
        <is>
          <t>Onboarding flow</t>
        </is>
      </c>
      <c r="D29" s="222" t="inlineStr">
        <is>
          <t>Frontend</t>
        </is>
      </c>
      <c r="E29" s="222" t="inlineStr">
        <is>
          <t>2 weeks</t>
        </is>
      </c>
      <c r="F29" s="222" t="inlineStr">
        <is>
          <t>Auth, Shipping profiles</t>
        </is>
      </c>
      <c r="G29" s="222" t="inlineStr">
        <is>
          <t>Multi-step setup wizard</t>
        </is>
      </c>
      <c r="H29" s="225" t="inlineStr">
        <is>
          <t>☑</t>
        </is>
      </c>
      <c r="I29" s="261" t="inlineStr">
        <is>
          <t>NK - Neha</t>
        </is>
      </c>
      <c r="J29" s="227" t="inlineStr">
        <is>
          <t>Frontend</t>
        </is>
      </c>
      <c r="K29" s="229" t="inlineStr">
        <is>
          <t>DONE</t>
        </is>
      </c>
    </row>
    <row r="30" ht="15" customHeight="1" s="186">
      <c r="A30" s="284" t="inlineStr">
        <is>
          <t>Phase 5: Admin</t>
        </is>
      </c>
      <c r="B30" s="192" t="inlineStr">
        <is>
          <t>20-21</t>
        </is>
      </c>
      <c r="C30" s="192" t="inlineStr">
        <is>
          <t>Super admin panel</t>
        </is>
      </c>
      <c r="D30" s="192" t="inlineStr">
        <is>
          <t>Backend + Frontend</t>
        </is>
      </c>
      <c r="E30" s="192" t="inlineStr">
        <is>
          <t>2 weeks</t>
        </is>
      </c>
      <c r="F30" s="192" t="inlineStr">
        <is>
          <t>All models</t>
        </is>
      </c>
      <c r="G30" s="192" t="inlineStr">
        <is>
          <t>Cross-store management, billing admin</t>
        </is>
      </c>
      <c r="H30" s="232" t="inlineStr">
        <is>
          <t>☑</t>
        </is>
      </c>
      <c r="I30" s="255" t="inlineStr">
        <is>
          <t>RG - Rohan</t>
        </is>
      </c>
      <c r="J30" s="193" t="inlineStr">
        <is>
          <t>Integrations</t>
        </is>
      </c>
      <c r="K30" s="234" t="inlineStr">
        <is>
          <t>DONE</t>
        </is>
      </c>
    </row>
    <row r="31" ht="15" customHeight="1" s="186">
      <c r="A31" s="285" t="inlineStr">
        <is>
          <t>Phase 6: Polish</t>
        </is>
      </c>
      <c r="B31" s="196" t="inlineStr">
        <is>
          <t>22-23</t>
        </is>
      </c>
      <c r="C31" s="196" t="inlineStr">
        <is>
          <t>Campaign / marketing module</t>
        </is>
      </c>
      <c r="D31" s="196" t="inlineStr">
        <is>
          <t>Backend + Frontend</t>
        </is>
      </c>
      <c r="E31" s="196" t="inlineStr">
        <is>
          <t>2 weeks</t>
        </is>
      </c>
      <c r="F31" s="196" t="inlineStr">
        <is>
          <t>Notifications</t>
        </is>
      </c>
      <c r="G31" s="196" t="inlineStr">
        <is>
          <t>Campaign creation, audience targeting, broadcast</t>
        </is>
      </c>
      <c r="H31" s="232" t="inlineStr">
        <is>
          <t>☑</t>
        </is>
      </c>
      <c r="I31" s="253" t="inlineStr">
        <is>
          <t>SP - Sanya</t>
        </is>
      </c>
      <c r="J31" s="197" t="inlineStr">
        <is>
          <t>Integrations</t>
        </is>
      </c>
      <c r="K31" s="238" t="inlineStr">
        <is>
          <t>DONE</t>
        </is>
      </c>
    </row>
    <row r="32" ht="15" customHeight="1" s="186">
      <c r="A32" s="286" t="inlineStr">
        <is>
          <t>Phase 6: Polish</t>
        </is>
      </c>
      <c r="B32" s="192" t="inlineStr">
        <is>
          <t>22-23</t>
        </is>
      </c>
      <c r="C32" s="192" t="inlineStr">
        <is>
          <t>Custom metafields system</t>
        </is>
      </c>
      <c r="D32" s="192" t="inlineStr">
        <is>
          <t>Backend + Frontend</t>
        </is>
      </c>
      <c r="E32" s="192" t="inlineStr">
        <is>
          <t>1 week</t>
        </is>
      </c>
      <c r="F32" s="192" t="inlineStr">
        <is>
          <t>—</t>
        </is>
      </c>
      <c r="G32" s="192" t="inlineStr">
        <is>
          <t>Custom field definitions, per-entity data</t>
        </is>
      </c>
      <c r="H32" s="232" t="inlineStr">
        <is>
          <t>☑</t>
        </is>
      </c>
      <c r="I32" s="233" t="inlineStr">
        <is>
          <t>PK - Priya</t>
        </is>
      </c>
      <c r="J32" s="193" t="inlineStr">
        <is>
          <t>Core Backend</t>
        </is>
      </c>
      <c r="K32" s="234" t="inlineStr">
        <is>
          <t>DONE</t>
        </is>
      </c>
    </row>
    <row r="33" ht="15" customHeight="1" s="186">
      <c r="A33" s="285" t="inlineStr">
        <is>
          <t>Phase 6: Polish</t>
        </is>
      </c>
      <c r="B33" s="196" t="inlineStr">
        <is>
          <t>23-24</t>
        </is>
      </c>
      <c r="C33" s="196" t="inlineStr">
        <is>
          <t>POS integration</t>
        </is>
      </c>
      <c r="D33" s="196" t="inlineStr">
        <is>
          <t>Backend</t>
        </is>
      </c>
      <c r="E33" s="196" t="inlineStr">
        <is>
          <t>2 weeks</t>
        </is>
      </c>
      <c r="F33" s="196" t="inlineStr">
        <is>
          <t>Products, Payments</t>
        </is>
      </c>
      <c r="G33" s="196" t="inlineStr">
        <is>
          <t>POS checkout, custom forms</t>
        </is>
      </c>
      <c r="H33" s="232" t="inlineStr">
        <is>
          <t>☐</t>
        </is>
      </c>
      <c r="I33" s="256" t="inlineStr">
        <is>
          <t>RG - Rohan</t>
        </is>
      </c>
      <c r="J33" s="197" t="inlineStr">
        <is>
          <t>Integrations</t>
        </is>
      </c>
      <c r="K33" s="238" t="inlineStr">
        <is>
          <t>NOT STARTED</t>
        </is>
      </c>
    </row>
    <row r="34" ht="15" customHeight="1" s="186">
      <c r="A34" s="286" t="inlineStr">
        <is>
          <t>Phase 6: Polish</t>
        </is>
      </c>
      <c r="B34" s="192" t="inlineStr">
        <is>
          <t>23-24</t>
        </is>
      </c>
      <c r="C34" s="192" t="inlineStr">
        <is>
          <t>Map views (orders, shipments, routes on map)</t>
        </is>
      </c>
      <c r="D34" s="192" t="inlineStr">
        <is>
          <t>Frontend</t>
        </is>
      </c>
      <c r="E34" s="192" t="inlineStr">
        <is>
          <t>2 weeks</t>
        </is>
      </c>
      <c r="F34" s="192" t="inlineStr">
        <is>
          <t>PostGIS, Leaflet</t>
        </is>
      </c>
      <c r="G34" s="192" t="inlineStr">
        <is>
          <t>Leaflet map components with marker clusters</t>
        </is>
      </c>
      <c r="H34" s="232" t="inlineStr">
        <is>
          <t>☑</t>
        </is>
      </c>
      <c r="I34" s="264" t="inlineStr">
        <is>
          <t>DM - Dev</t>
        </is>
      </c>
      <c r="J34" s="193" t="inlineStr">
        <is>
          <t>Frontend</t>
        </is>
      </c>
      <c r="K34" s="234" t="inlineStr">
        <is>
          <t>DONE</t>
        </is>
      </c>
    </row>
    <row r="35" ht="15" customHeight="1" s="186">
      <c r="A35" s="285" t="inlineStr">
        <is>
          <t>Phase 6: Polish</t>
        </is>
      </c>
      <c r="B35" s="196" t="inlineStr">
        <is>
          <t>24-25</t>
        </is>
      </c>
      <c r="C35" s="196" t="inlineStr">
        <is>
          <t>Data migration tools (MongoDB → PostgreSQL)</t>
        </is>
      </c>
      <c r="D35" s="196" t="inlineStr">
        <is>
          <t>Backend</t>
        </is>
      </c>
      <c r="E35" s="196" t="inlineStr">
        <is>
          <t>3 weeks</t>
        </is>
      </c>
      <c r="F35" s="196" t="inlineStr">
        <is>
          <t>All models</t>
        </is>
      </c>
      <c r="G35" s="196" t="inlineStr">
        <is>
          <t>Migration scripts, validation, rollback</t>
        </is>
      </c>
      <c r="H35" s="232" t="inlineStr">
        <is>
          <t>☑</t>
        </is>
      </c>
      <c r="I35" s="258" t="inlineStr">
        <is>
          <t>PK - Priya</t>
        </is>
      </c>
      <c r="J35" s="197" t="inlineStr">
        <is>
          <t>Core Backend</t>
        </is>
      </c>
      <c r="K35" s="238" t="inlineStr">
        <is>
          <t>DONE</t>
        </is>
      </c>
    </row>
    <row r="36" ht="15" customHeight="1" s="186">
      <c r="A36" s="286" t="inlineStr">
        <is>
          <t>Phase 6: Polish</t>
        </is>
      </c>
      <c r="B36" s="192" t="inlineStr">
        <is>
          <t>24-25</t>
        </is>
      </c>
      <c r="C36" s="192" t="inlineStr">
        <is>
          <t>CI/CD, Docker, monitoring</t>
        </is>
      </c>
      <c r="D36" s="192" t="inlineStr">
        <is>
          <t>Infra</t>
        </is>
      </c>
      <c r="E36" s="192" t="inlineStr">
        <is>
          <t>2 weeks</t>
        </is>
      </c>
      <c r="F36" s="192" t="inlineStr">
        <is>
          <t>—</t>
        </is>
      </c>
      <c r="G36" s="192" t="inlineStr">
        <is>
          <t>Docker builds, Sentry, Pino logging, deployment</t>
        </is>
      </c>
      <c r="H36" s="232" t="inlineStr">
        <is>
          <t>☑</t>
        </is>
      </c>
      <c r="I36" s="270" t="inlineStr">
        <is>
          <t>AM - Aisha</t>
        </is>
      </c>
      <c r="J36" s="193" t="inlineStr">
        <is>
          <t>Platform</t>
        </is>
      </c>
      <c r="K36" s="234" t="inlineStr">
        <is>
          <t>DONE</t>
        </is>
      </c>
    </row>
    <row r="38" ht="15" customHeight="1" s="186">
      <c r="A38" s="260" t="inlineStr">
        <is>
          <t>SPRINT 2.8 PLANNED</t>
        </is>
      </c>
    </row>
    <row r="39" ht="15" customHeight="1" s="186">
      <c r="A39" s="185" t="inlineStr">
        <is>
          <t>Phase 7: Production</t>
        </is>
      </c>
      <c r="B39" s="185" t="inlineStr">
        <is>
          <t>2.8</t>
        </is>
      </c>
      <c r="C39" s="185" t="inlineStr">
        <is>
          <t>Auth provider abstraction (Auth0, Clerk, Cognito, Firebase, OIDC, SAML)</t>
        </is>
      </c>
      <c r="D39" s="185" t="inlineStr">
        <is>
          <t>Backend + Infra</t>
        </is>
      </c>
      <c r="E39" s="185" t="inlineStr">
        <is>
          <t>2 weeks</t>
        </is>
      </c>
      <c r="F39" s="185" t="inlineStr">
        <is>
          <t>Auth system</t>
        </is>
      </c>
      <c r="G39" s="185" t="inlineStr">
        <is>
          <t>Multi-provider auth registry with BYOK pattern</t>
        </is>
      </c>
      <c r="H39" s="185" t="inlineStr">
        <is>
          <t>☐</t>
        </is>
      </c>
    </row>
    <row r="40" ht="15" customHeight="1" s="186">
      <c r="A40" s="185" t="inlineStr">
        <is>
          <t>Phase 7: Production</t>
        </is>
      </c>
      <c r="B40" s="185" t="inlineStr">
        <is>
          <t>2.8</t>
        </is>
      </c>
      <c r="C40" s="185" t="inlineStr">
        <is>
          <t>Platform admin panel (user/customer management)</t>
        </is>
      </c>
      <c r="D40" s="185" t="inlineStr">
        <is>
          <t>Backend + Frontend</t>
        </is>
      </c>
      <c r="E40" s="185" t="inlineStr">
        <is>
          <t>2 weeks</t>
        </is>
      </c>
      <c r="F40" s="185" t="inlineStr">
        <is>
          <t>Auth, RBAC</t>
        </is>
      </c>
      <c r="G40" s="185" t="inlineStr">
        <is>
          <t>Admin dashboard for platform-level oversight</t>
        </is>
      </c>
      <c r="H40" s="185" t="inlineStr">
        <is>
          <t>☐</t>
        </is>
      </c>
    </row>
    <row r="41" ht="15" customHeight="1" s="186">
      <c r="A41" s="185" t="inlineStr">
        <is>
          <t>Phase 7: Production</t>
        </is>
      </c>
      <c r="B41" s="185" t="inlineStr">
        <is>
          <t>2.8</t>
        </is>
      </c>
      <c r="C41" s="185" t="inlineStr">
        <is>
          <t>Activity log &amp; Settings redesign (frontend-design)</t>
        </is>
      </c>
      <c r="D41" s="185" t="inlineStr">
        <is>
          <t>Frontend</t>
        </is>
      </c>
      <c r="E41" s="185" t="inlineStr">
        <is>
          <t>1 week</t>
        </is>
      </c>
      <c r="F41" s="185" t="inlineStr">
        <is>
          <t>Audit, Settings</t>
        </is>
      </c>
      <c r="G41" s="185" t="inlineStr">
        <is>
          <t>Production-grade UI with frontend-design skill</t>
        </is>
      </c>
      <c r="H41" s="185" t="inlineStr">
        <is>
          <t>☐</t>
        </is>
      </c>
    </row>
    <row r="42" ht="15" customHeight="1" s="186">
      <c r="A42" s="185" t="inlineStr">
        <is>
          <t>Phase 7: Production</t>
        </is>
      </c>
      <c r="B42" s="185" t="inlineStr">
        <is>
          <t>2.8</t>
        </is>
      </c>
      <c r="C42" s="185" t="inlineStr">
        <is>
          <t>Docker production deployment</t>
        </is>
      </c>
      <c r="D42" s="185" t="inlineStr">
        <is>
          <t>Infra</t>
        </is>
      </c>
      <c r="E42" s="185" t="inlineStr">
        <is>
          <t>1 week</t>
        </is>
      </c>
      <c r="F42" s="185" t="inlineStr">
        <is>
          <t>—</t>
        </is>
      </c>
      <c r="G42" s="185" t="inlineStr">
        <is>
          <t>Multi-stage Dockerfiles, compose.prod.yml, health checks</t>
        </is>
      </c>
      <c r="H42" s="185" t="inlineStr">
        <is>
          <t>☐</t>
        </is>
      </c>
    </row>
    <row r="43" ht="15" customHeight="1" s="186">
      <c r="A43" s="185" t="inlineStr">
        <is>
          <t>Phase 7: Production</t>
        </is>
      </c>
      <c r="B43" s="185" t="inlineStr">
        <is>
          <t>2.8</t>
        </is>
      </c>
      <c r="C43" s="185" t="inlineStr">
        <is>
          <t>POS integration</t>
        </is>
      </c>
      <c r="D43" s="185" t="inlineStr">
        <is>
          <t>Backend</t>
        </is>
      </c>
      <c r="E43" s="185" t="inlineStr">
        <is>
          <t>2 weeks</t>
        </is>
      </c>
      <c r="F43" s="185" t="inlineStr">
        <is>
          <t>Products, Payments</t>
        </is>
      </c>
      <c r="G43" s="185" t="inlineStr">
        <is>
          <t>POS checkout, custom forms</t>
        </is>
      </c>
      <c r="H43" s="185" t="inlineStr">
        <is>
          <t>☐</t>
        </is>
      </c>
    </row>
    <row r="44" ht="15" customHeight="1" s="186">
      <c r="A44" s="185" t="inlineStr">
        <is>
          <t>Phase 7: Production</t>
        </is>
      </c>
      <c r="B44" s="185" t="inlineStr">
        <is>
          <t>2.8</t>
        </is>
      </c>
      <c r="C44" s="185" t="inlineStr">
        <is>
          <t>API hardening + OpenAPI spec</t>
        </is>
      </c>
      <c r="D44" s="185" t="inlineStr">
        <is>
          <t>Backend</t>
        </is>
      </c>
      <c r="E44" s="185" t="inlineStr">
        <is>
          <t>1 week</t>
        </is>
      </c>
      <c r="F44" s="185" t="inlineStr">
        <is>
          <t>All routes</t>
        </is>
      </c>
      <c r="G44" s="185" t="inlineStr">
        <is>
          <t>Zod validation, error standardization, Swagger UI</t>
        </is>
      </c>
      <c r="H44" s="185" t="inlineStr">
        <is>
          <t>☐</t>
        </is>
      </c>
    </row>
    <row r="45" ht="15" customHeight="1" s="186">
      <c r="A45" s="185" t="inlineStr">
        <is>
          <t>Phase 7: Production</t>
        </is>
      </c>
      <c r="B45" s="185" t="inlineStr">
        <is>
          <t>2.8</t>
        </is>
      </c>
      <c r="C45" s="185" t="inlineStr">
        <is>
          <t>E2E tests + load testing</t>
        </is>
      </c>
      <c r="D45" s="185" t="inlineStr">
        <is>
          <t>QA</t>
        </is>
      </c>
      <c r="E45" s="185" t="inlineStr">
        <is>
          <t>1 week</t>
        </is>
      </c>
      <c r="F45" s="185" t="inlineStr">
        <is>
          <t>All apps</t>
        </is>
      </c>
      <c r="G45" s="185" t="inlineStr">
        <is>
          <t>Integration suites, k6 load tests, CI pipeline</t>
        </is>
      </c>
      <c r="H45" s="185" t="inlineStr">
        <is>
          <t>☐</t>
        </is>
      </c>
    </row>
    <row r="47" ht="15" customHeight="1" s="186">
      <c r="A47" s="267" t="inlineStr">
        <is>
          <t>PHASE 3.0: EVENT SYSTEM &amp; DESIGN SYSTEM</t>
        </is>
      </c>
      <c r="B47" s="268" t="n"/>
      <c r="C47" s="268" t="n"/>
      <c r="D47" s="268" t="n"/>
      <c r="E47" s="268" t="n"/>
    </row>
    <row r="48" ht="15" customHeight="1" s="186">
      <c r="A48" s="269" t="inlineStr">
        <is>
          <t>Design System Migration</t>
        </is>
      </c>
      <c r="B48" s="269" t="inlineStr">
        <is>
          <t>Migrate dashboard from custom components to shadcn/ui + Tailwind CSS 4</t>
        </is>
      </c>
      <c r="C48" s="269" t="inlineStr">
        <is>
          <t>Phase 3.0</t>
        </is>
      </c>
      <c r="D48" s="269" t="inlineStr">
        <is>
          <t>Sprint 3.0-3.1</t>
        </is>
      </c>
      <c r="E48" s="269" t="inlineStr">
        <is>
          <t>CRITICAL</t>
        </is>
      </c>
    </row>
    <row r="49" ht="15" customHeight="1" s="186">
      <c r="A49" s="269" t="inlineStr">
        <is>
          <t>Component Library (shadcn/ui)</t>
        </is>
      </c>
      <c r="B49" s="269" t="inlineStr">
        <is>
          <t>Install and configure shadcn/ui with Witylogix theme tokens</t>
        </is>
      </c>
      <c r="C49" s="269" t="inlineStr">
        <is>
          <t>Phase 3.0</t>
        </is>
      </c>
      <c r="D49" s="269" t="inlineStr">
        <is>
          <t>Sprint 3.0</t>
        </is>
      </c>
      <c r="E49" s="269" t="inlineStr">
        <is>
          <t>HIGH</t>
        </is>
      </c>
    </row>
    <row r="50" ht="15" customHeight="1" s="186">
      <c r="A50" s="269" t="inlineStr">
        <is>
          <t>Tailwind CSS 4 Setup</t>
        </is>
      </c>
      <c r="B50" s="269" t="inlineStr">
        <is>
          <t>Add Tailwind CSS 4 to dashboard with --wl-* token mapping</t>
        </is>
      </c>
      <c r="C50" s="269" t="inlineStr">
        <is>
          <t>Phase 3.0</t>
        </is>
      </c>
      <c r="D50" s="269" t="inlineStr">
        <is>
          <t>Sprint 3.0</t>
        </is>
      </c>
      <c r="E50" s="269" t="inlineStr">
        <is>
          <t>HIGH</t>
        </is>
      </c>
    </row>
    <row r="51" ht="15" customHeight="1" s="186">
      <c r="A51" s="269" t="inlineStr">
        <is>
          <t>Event Bus Foundation</t>
        </is>
      </c>
      <c r="B51" s="269" t="inlineStr">
        <is>
          <t>Typed event emitter with Redis Streams pub/sub</t>
        </is>
      </c>
      <c r="C51" s="269" t="inlineStr">
        <is>
          <t>Phase 3.0</t>
        </is>
      </c>
      <c r="D51" s="269" t="inlineStr">
        <is>
          <t>Sprint 3.0</t>
        </is>
      </c>
      <c r="E51" s="269" t="inlineStr">
        <is>
          <t>HIGH</t>
        </is>
      </c>
    </row>
    <row r="52" ht="15" customHeight="1" s="186">
      <c r="A52" s="269" t="inlineStr">
        <is>
          <t>Workflow-API Integration</t>
        </is>
      </c>
      <c r="B52" s="269" t="inlineStr">
        <is>
          <t>Wire workflow engine into existing order/driver/delivery endpoints</t>
        </is>
      </c>
      <c r="C52" s="269" t="inlineStr">
        <is>
          <t>Phase 3.0</t>
        </is>
      </c>
      <c r="D52" s="269" t="inlineStr">
        <is>
          <t>Sprint 3.0</t>
        </is>
      </c>
      <c r="E52" s="269" t="inlineStr">
        <is>
          <t>HIGH</t>
        </is>
      </c>
    </row>
    <row r="53" ht="15" customHeight="1" s="186">
      <c r="A53" s="269" t="inlineStr">
        <is>
          <t>Webhook System</t>
        </is>
      </c>
      <c r="B53" s="269" t="inlineStr">
        <is>
          <t>Outbound webhooks for workflow events with signing and retry</t>
        </is>
      </c>
      <c r="C53" s="269" t="inlineStr">
        <is>
          <t>Phase 3.0</t>
        </is>
      </c>
      <c r="D53" s="269" t="inlineStr">
        <is>
          <t>Sprint 3.0</t>
        </is>
      </c>
      <c r="E53" s="269" t="inlineStr">
        <is>
          <t>MEDIUM</t>
        </is>
      </c>
    </row>
    <row r="54" ht="15" customHeight="1" s="186">
      <c r="A54" s="269" t="inlineStr">
        <is>
          <t>Real-time Workflow Updates</t>
        </is>
      </c>
      <c r="B54" s="269" t="inlineStr">
        <is>
          <t>Socket.io integration for live workflow step progression</t>
        </is>
      </c>
      <c r="C54" s="269" t="inlineStr">
        <is>
          <t>Phase 3.0</t>
        </is>
      </c>
      <c r="D54" s="269" t="inlineStr">
        <is>
          <t>Sprint 3.0</t>
        </is>
      </c>
      <c r="E54" s="269" t="inlineStr">
        <is>
          <t>MEDIUM</t>
        </is>
      </c>
    </row>
    <row r="55" ht="15" customHeight="1" s="186">
      <c r="A55" s="269" t="inlineStr">
        <is>
          <t>Shopify Workflow Triggers</t>
        </is>
      </c>
      <c r="B55" s="269" t="inlineStr">
        <is>
          <t>Connect Shopify order webhooks to workflow engine</t>
        </is>
      </c>
      <c r="C55" s="269" t="inlineStr">
        <is>
          <t>Phase 3.0</t>
        </is>
      </c>
      <c r="D55" s="269" t="inlineStr">
        <is>
          <t>Sprint 3.0</t>
        </is>
      </c>
      <c r="E55" s="269" t="inlineStr">
        <is>
          <t>MEDIUM</t>
        </is>
      </c>
    </row>
    <row r="58" ht="15" customHeight="1" s="186">
      <c r="A58" s="185" t="inlineStr">
        <is>
          <t>SPRINT 3.1 PLANNED</t>
        </is>
      </c>
    </row>
    <row r="60" ht="15" customHeight="1" s="186">
      <c r="A60" s="185" t="inlineStr">
        <is>
          <t>SPRINT 3.2 PLANNED — Notification Providers, Carrier APIs, POS Extension &amp; Page Migration (Date: 2026-03-08)</t>
        </is>
      </c>
    </row>
    <row r="61" ht="15" customHeight="1" s="186">
      <c r="A61" s="185" t="inlineStr">
        <is>
          <t>Phase 3.2: Notifications &amp; Carriers</t>
        </is>
      </c>
      <c r="B61" s="185" t="inlineStr">
        <is>
          <t>3.2</t>
        </is>
      </c>
      <c r="C61" s="185" t="inlineStr">
        <is>
          <t>ADR-012 notification architecture + orchestrator wiring</t>
        </is>
      </c>
      <c r="D61" s="185" t="inlineStr">
        <is>
          <t>Backend</t>
        </is>
      </c>
      <c r="E61" s="185" t="inlineStr">
        <is>
          <t>—</t>
        </is>
      </c>
      <c r="F61" s="185" t="inlineStr">
        <is>
          <t>—</t>
        </is>
      </c>
      <c r="G61" s="185" t="inlineStr">
        <is>
          <t>3 files</t>
        </is>
      </c>
      <c r="H61" s="185" t="inlineStr">
        <is>
          <t>☐</t>
        </is>
      </c>
      <c r="I61" s="185" t="inlineStr">
        <is>
          <t>AR - Arjun</t>
        </is>
      </c>
      <c r="J61" s="185" t="inlineStr">
        <is>
          <t>Architecture</t>
        </is>
      </c>
      <c r="K61" s="185" t="inlineStr">
        <is>
          <t>PLANNED</t>
        </is>
      </c>
    </row>
    <row r="62" ht="15" customHeight="1" s="186">
      <c r="A62" s="185" t="inlineStr">
        <is>
          <t>Phase 3.2: Notifications &amp; Carriers</t>
        </is>
      </c>
      <c r="B62" s="185" t="inlineStr">
        <is>
          <t>3.2</t>
        </is>
      </c>
      <c r="C62" s="185" t="inlineStr">
        <is>
          <t>Page Tailwind migration batch 4 — orders/*, routes/*</t>
        </is>
      </c>
      <c r="D62" s="185" t="inlineStr">
        <is>
          <t>Frontend</t>
        </is>
      </c>
      <c r="E62" s="185" t="inlineStr">
        <is>
          <t>—</t>
        </is>
      </c>
      <c r="F62" s="185" t="inlineStr">
        <is>
          <t>—</t>
        </is>
      </c>
      <c r="G62" s="185" t="inlineStr">
        <is>
          <t>10 pages</t>
        </is>
      </c>
      <c r="H62" s="185" t="inlineStr">
        <is>
          <t>☐</t>
        </is>
      </c>
      <c r="I62" s="185" t="inlineStr">
        <is>
          <t>DM - Dev</t>
        </is>
      </c>
      <c r="J62" s="185" t="inlineStr">
        <is>
          <t>Frontend</t>
        </is>
      </c>
      <c r="K62" s="185" t="inlineStr">
        <is>
          <t>PLANNED</t>
        </is>
      </c>
    </row>
    <row r="63" ht="15" customHeight="1" s="186">
      <c r="A63" s="185" t="inlineStr">
        <is>
          <t>Phase 3.2: Notifications &amp; Carriers</t>
        </is>
      </c>
      <c r="B63" s="185" t="inlineStr">
        <is>
          <t>3.2</t>
        </is>
      </c>
      <c r="C63" s="185" t="inlineStr">
        <is>
          <t>Page Tailwind migration batch 5 — delivery/*, shipping-profiles/*, collections, integrations</t>
        </is>
      </c>
      <c r="D63" s="185" t="inlineStr">
        <is>
          <t>Frontend</t>
        </is>
      </c>
      <c r="E63" s="185" t="inlineStr">
        <is>
          <t>—</t>
        </is>
      </c>
      <c r="F63" s="185" t="inlineStr">
        <is>
          <t>—</t>
        </is>
      </c>
      <c r="G63" s="185" t="inlineStr">
        <is>
          <t>8 pages</t>
        </is>
      </c>
      <c r="H63" s="185" t="inlineStr">
        <is>
          <t>☐</t>
        </is>
      </c>
      <c r="I63" s="185" t="inlineStr">
        <is>
          <t>NK - Neha</t>
        </is>
      </c>
      <c r="J63" s="185" t="inlineStr">
        <is>
          <t>Frontend</t>
        </is>
      </c>
      <c r="K63" s="185" t="inlineStr">
        <is>
          <t>PLANNED</t>
        </is>
      </c>
    </row>
    <row r="64" ht="15" customHeight="1" s="186">
      <c r="A64" s="185" t="inlineStr">
        <is>
          <t>Phase 3.2: Notifications &amp; Carriers</t>
        </is>
      </c>
      <c r="B64" s="185" t="inlineStr">
        <is>
          <t>3.2</t>
        </is>
      </c>
      <c r="C64" s="185" t="inlineStr">
        <is>
          <t>SendGrid + Twilio real HTTP implementations</t>
        </is>
      </c>
      <c r="D64" s="185" t="inlineStr">
        <is>
          <t>Backend</t>
        </is>
      </c>
      <c r="E64" s="185" t="inlineStr">
        <is>
          <t>—</t>
        </is>
      </c>
      <c r="F64" s="185" t="inlineStr">
        <is>
          <t>—</t>
        </is>
      </c>
      <c r="G64" s="185" t="inlineStr">
        <is>
          <t>2 files</t>
        </is>
      </c>
      <c r="H64" s="185" t="inlineStr">
        <is>
          <t>☐</t>
        </is>
      </c>
      <c r="I64" s="185" t="inlineStr">
        <is>
          <t>RG - Rohan</t>
        </is>
      </c>
      <c r="J64" s="185" t="inlineStr">
        <is>
          <t>Integrations</t>
        </is>
      </c>
      <c r="K64" s="185" t="inlineStr">
        <is>
          <t>PLANNED</t>
        </is>
      </c>
    </row>
    <row r="65" ht="15" customHeight="1" s="186">
      <c r="A65" s="185" t="inlineStr">
        <is>
          <t>Phase 3.2: Notifications &amp; Carriers</t>
        </is>
      </c>
      <c r="B65" s="185" t="inlineStr">
        <is>
          <t>3.2</t>
        </is>
      </c>
      <c r="C65" s="185" t="inlineStr">
        <is>
          <t>WhatsApp + Firebase Push real HTTP implementations</t>
        </is>
      </c>
      <c r="D65" s="185" t="inlineStr">
        <is>
          <t>Backend</t>
        </is>
      </c>
      <c r="E65" s="185" t="inlineStr">
        <is>
          <t>—</t>
        </is>
      </c>
      <c r="F65" s="185" t="inlineStr">
        <is>
          <t>—</t>
        </is>
      </c>
      <c r="G65" s="185" t="inlineStr">
        <is>
          <t>2 files</t>
        </is>
      </c>
      <c r="H65" s="185" t="inlineStr">
        <is>
          <t>☐</t>
        </is>
      </c>
      <c r="I65" s="185" t="inlineStr">
        <is>
          <t>SP - Sanya</t>
        </is>
      </c>
      <c r="J65" s="185" t="inlineStr">
        <is>
          <t>Integrations</t>
        </is>
      </c>
      <c r="K65" s="185" t="inlineStr">
        <is>
          <t>PLANNED</t>
        </is>
      </c>
    </row>
    <row r="66" ht="15" customHeight="1" s="186">
      <c r="A66" s="185" t="inlineStr">
        <is>
          <t>Phase 3.2: Notifications &amp; Carriers</t>
        </is>
      </c>
      <c r="B66" s="185" t="inlineStr">
        <is>
          <t>3.2</t>
        </is>
      </c>
      <c r="C66" s="185" t="inlineStr">
        <is>
          <t>Page Tailwind migration batch 6 — analytics, billing, support, profile, notifications, stores</t>
        </is>
      </c>
      <c r="D66" s="185" t="inlineStr">
        <is>
          <t>Frontend</t>
        </is>
      </c>
      <c r="E66" s="185" t="inlineStr">
        <is>
          <t>—</t>
        </is>
      </c>
      <c r="F66" s="185" t="inlineStr">
        <is>
          <t>—</t>
        </is>
      </c>
      <c r="G66" s="185" t="inlineStr">
        <is>
          <t>6 pages</t>
        </is>
      </c>
      <c r="H66" s="185" t="inlineStr">
        <is>
          <t>☐</t>
        </is>
      </c>
      <c r="I66" s="185" t="inlineStr">
        <is>
          <t>VS - Vikram</t>
        </is>
      </c>
      <c r="J66" s="185" t="inlineStr">
        <is>
          <t>Core Backend</t>
        </is>
      </c>
      <c r="K66" s="185" t="inlineStr">
        <is>
          <t>PLANNED</t>
        </is>
      </c>
    </row>
    <row r="67" ht="15" customHeight="1" s="186">
      <c r="A67" s="185" t="inlineStr">
        <is>
          <t>Phase 3.2: Notifications &amp; Carriers</t>
        </is>
      </c>
      <c r="B67" s="185" t="inlineStr">
        <is>
          <t>3.2</t>
        </is>
      </c>
      <c r="C67" s="185" t="inlineStr">
        <is>
          <t>FedEx + UPS carrier adapter real HTTP APIs</t>
        </is>
      </c>
      <c r="D67" s="185" t="inlineStr">
        <is>
          <t>Backend</t>
        </is>
      </c>
      <c r="E67" s="185" t="inlineStr">
        <is>
          <t>—</t>
        </is>
      </c>
      <c r="F67" s="185" t="inlineStr">
        <is>
          <t>—</t>
        </is>
      </c>
      <c r="G67" s="185" t="inlineStr">
        <is>
          <t>2 files</t>
        </is>
      </c>
      <c r="H67" s="185" t="inlineStr">
        <is>
          <t>☐</t>
        </is>
      </c>
      <c r="I67" s="185" t="inlineStr">
        <is>
          <t>PK - Priya</t>
        </is>
      </c>
      <c r="J67" s="185" t="inlineStr">
        <is>
          <t>Core Backend</t>
        </is>
      </c>
      <c r="K67" s="185" t="inlineStr">
        <is>
          <t>PLANNED</t>
        </is>
      </c>
    </row>
    <row r="68" ht="15" customHeight="1" s="186">
      <c r="A68" s="185" t="inlineStr">
        <is>
          <t>Phase 3.2: Notifications &amp; Carriers</t>
        </is>
      </c>
      <c r="B68" s="185" t="inlineStr">
        <is>
          <t>3.2</t>
        </is>
      </c>
      <c r="C68" s="185" t="inlineStr">
        <is>
          <t>Notification provider tests + carrier adapter tests + validator tests</t>
        </is>
      </c>
      <c r="D68" s="185" t="inlineStr">
        <is>
          <t>QA</t>
        </is>
      </c>
      <c r="E68" s="185" t="inlineStr">
        <is>
          <t>—</t>
        </is>
      </c>
      <c r="F68" s="185" t="inlineStr">
        <is>
          <t>—</t>
        </is>
      </c>
      <c r="G68" s="185" t="inlineStr">
        <is>
          <t>6 test suites</t>
        </is>
      </c>
      <c r="H68" s="185" t="inlineStr">
        <is>
          <t>☐</t>
        </is>
      </c>
      <c r="I68" s="185" t="inlineStr">
        <is>
          <t>KS - Kavitha</t>
        </is>
      </c>
      <c r="J68" s="185" t="inlineStr">
        <is>
          <t>QA</t>
        </is>
      </c>
      <c r="K68" s="185" t="inlineStr">
        <is>
          <t>PLANNED</t>
        </is>
      </c>
    </row>
    <row r="69" ht="15" customHeight="1" s="186">
      <c r="A69" s="185" t="inlineStr">
        <is>
          <t>Phase 3.2: Notifications &amp; Carriers</t>
        </is>
      </c>
      <c r="B69" s="185" t="inlineStr">
        <is>
          <t>3.2</t>
        </is>
      </c>
      <c r="C69" s="185" t="inlineStr">
        <is>
          <t>POS UI extension scaffold + checkout/POS shared components</t>
        </is>
      </c>
      <c r="D69" s="185" t="inlineStr">
        <is>
          <t>Backend + Frontend</t>
        </is>
      </c>
      <c r="E69" s="185" t="inlineStr">
        <is>
          <t>—</t>
        </is>
      </c>
      <c r="F69" s="185" t="inlineStr">
        <is>
          <t>—</t>
        </is>
      </c>
      <c r="G69" s="185" t="inlineStr">
        <is>
          <t>8 files</t>
        </is>
      </c>
      <c r="H69" s="185" t="inlineStr">
        <is>
          <t>☐</t>
        </is>
      </c>
      <c r="I69" s="185" t="inlineStr">
        <is>
          <t>AM - Aisha</t>
        </is>
      </c>
      <c r="J69" s="185" t="inlineStr">
        <is>
          <t>Platform</t>
        </is>
      </c>
      <c r="K69" s="185" t="inlineStr">
        <is>
          <t>PLANNED</t>
        </is>
      </c>
    </row>
    <row r="71" ht="15" customHeight="1" s="186">
      <c r="A71" s="185" t="inlineStr">
        <is>
          <t>SPRINT 3.3 PLANNED — Worker Wiring, Auth OAuth2, OSRM Routing &amp; Final Page Migration (Date: 2026-03-08)</t>
        </is>
      </c>
    </row>
    <row r="72" ht="15" customHeight="1" s="186">
      <c r="A72" s="185" t="inlineStr">
        <is>
          <t>Phase 3.3: Worker &amp; Auth</t>
        </is>
      </c>
      <c r="B72" s="185" t="inlineStr">
        <is>
          <t>3.3</t>
        </is>
      </c>
      <c r="C72" s="185" t="inlineStr">
        <is>
          <t>ADR-013 worker-orchestrator architecture + notification worker rewrite to use orchestrator</t>
        </is>
      </c>
      <c r="D72" s="185" t="inlineStr">
        <is>
          <t>Backend</t>
        </is>
      </c>
      <c r="E72" s="185" t="inlineStr">
        <is>
          <t>—</t>
        </is>
      </c>
      <c r="F72" s="185" t="inlineStr">
        <is>
          <t>—</t>
        </is>
      </c>
    </row>
    <row r="73" ht="15" customHeight="1" s="186">
      <c r="A73" s="185" t="inlineStr">
        <is>
          <t>Phase 3.3: Worker &amp; Auth</t>
        </is>
      </c>
      <c r="B73" s="185" t="inlineStr">
        <is>
          <t>3.3</t>
        </is>
      </c>
      <c r="C73" s="185" t="inlineStr">
        <is>
          <t>Page Tailwind migration batch 7 — map, tracking/live, onboarding, widget-config, time-slots</t>
        </is>
      </c>
      <c r="D73" s="185" t="inlineStr">
        <is>
          <t>Frontend</t>
        </is>
      </c>
      <c r="E73" s="185" t="inlineStr">
        <is>
          <t>—</t>
        </is>
      </c>
      <c r="F73" s="185" t="inlineStr">
        <is>
          <t>—</t>
        </is>
      </c>
    </row>
    <row r="74" ht="15" customHeight="1" s="186">
      <c r="A74" s="185" t="inlineStr">
        <is>
          <t>Phase 3.3: Worker &amp; Auth</t>
        </is>
      </c>
      <c r="B74" s="185" t="inlineStr">
        <is>
          <t>3.3</t>
        </is>
      </c>
      <c r="C74" s="185" t="inlineStr">
        <is>
          <t>Page Tailwind migration batch 8 — auth/login, auth/register, auth/forgot-password, auth/layout, campaigns, campaigns/[id]</t>
        </is>
      </c>
      <c r="D74" s="185" t="inlineStr">
        <is>
          <t>Frontend</t>
        </is>
      </c>
      <c r="E74" s="185" t="inlineStr">
        <is>
          <t>—</t>
        </is>
      </c>
      <c r="F74" s="185" t="inlineStr">
        <is>
          <t>—</t>
        </is>
      </c>
    </row>
    <row r="75" ht="15" customHeight="1" s="186">
      <c r="A75" s="185" t="inlineStr">
        <is>
          <t>Phase 3.3: Worker &amp; Auth</t>
        </is>
      </c>
      <c r="B75" s="185" t="inlineStr">
        <is>
          <t>3.3</t>
        </is>
      </c>
      <c r="C75" s="185" t="inlineStr">
        <is>
          <t>DHL carrier adapter real HTTP + OSRM Phase 2 routing provider</t>
        </is>
      </c>
      <c r="D75" s="185" t="inlineStr">
        <is>
          <t>Backend</t>
        </is>
      </c>
      <c r="E75" s="185" t="inlineStr">
        <is>
          <t>—</t>
        </is>
      </c>
      <c r="F75" s="185" t="inlineStr">
        <is>
          <t>—</t>
        </is>
      </c>
    </row>
    <row r="76" ht="15" customHeight="1" s="186">
      <c r="A76" s="185" t="inlineStr">
        <is>
          <t>Phase 3.3: Worker &amp; Auth</t>
        </is>
      </c>
      <c r="B76" s="185" t="inlineStr">
        <is>
          <t>3.3</t>
        </is>
      </c>
      <c r="C76" s="185" t="inlineStr">
        <is>
          <t>Auth OAuth2 code exchange + API route BullMQ job wiring</t>
        </is>
      </c>
      <c r="D76" s="185" t="inlineStr">
        <is>
          <t>Backend + Frontend</t>
        </is>
      </c>
      <c r="E76" s="185" t="inlineStr">
        <is>
          <t>—</t>
        </is>
      </c>
      <c r="F76" s="185" t="inlineStr">
        <is>
          <t>—</t>
        </is>
      </c>
    </row>
    <row r="77" ht="15" customHeight="1" s="186">
      <c r="A77" s="185" t="inlineStr">
        <is>
          <t>Phase 3.3: Worker &amp; Auth</t>
        </is>
      </c>
      <c r="B77" s="185" t="inlineStr">
        <is>
          <t>3.3</t>
        </is>
      </c>
      <c r="C77" s="185" t="inlineStr">
        <is>
          <t>Page Tailwind migration batch 9 — page.tsx (home), widgets, routes/[id]/assign, admin/design-system, onboarding/layout, layout.tsx</t>
        </is>
      </c>
      <c r="D77" s="185" t="inlineStr">
        <is>
          <t>Frontend</t>
        </is>
      </c>
      <c r="E77" s="185" t="inlineStr">
        <is>
          <t>—</t>
        </is>
      </c>
      <c r="F77" s="185" t="inlineStr">
        <is>
          <t>—</t>
        </is>
      </c>
    </row>
    <row r="78" ht="15" customHeight="1" s="186">
      <c r="A78" s="185" t="inlineStr">
        <is>
          <t>Phase 3.3: Worker &amp; Auth</t>
        </is>
      </c>
      <c r="B78" s="185" t="inlineStr">
        <is>
          <t>3.3</t>
        </is>
      </c>
      <c r="C78" s="185" t="inlineStr">
        <is>
          <t>Notification worker integration tests + API route notification enqueueing</t>
        </is>
      </c>
      <c r="D78" s="185" t="inlineStr">
        <is>
          <t>Backend</t>
        </is>
      </c>
      <c r="E78" s="185" t="inlineStr">
        <is>
          <t>—</t>
        </is>
      </c>
      <c r="F78" s="185" t="inlineStr">
        <is>
          <t>—</t>
        </is>
      </c>
    </row>
    <row r="79" ht="15" customHeight="1" s="186">
      <c r="A79" s="185" t="inlineStr">
        <is>
          <t>Phase 3.3: Worker &amp; Auth</t>
        </is>
      </c>
      <c r="B79" s="185" t="inlineStr">
        <is>
          <t>3.3</t>
        </is>
      </c>
      <c r="C79" s="185" t="inlineStr">
        <is>
          <t>Validator schema tests + carrier adapter DHL tests + OSRM routing tests</t>
        </is>
      </c>
      <c r="D79" s="185" t="inlineStr">
        <is>
          <t>QA</t>
        </is>
      </c>
      <c r="E79" s="185" t="inlineStr">
        <is>
          <t>—</t>
        </is>
      </c>
      <c r="F79" s="185" t="inlineStr">
        <is>
          <t>—</t>
        </is>
      </c>
    </row>
    <row r="80" ht="15" customHeight="1" s="186">
      <c r="A80" s="185" t="inlineStr">
        <is>
          <t>Phase 3.3: Worker &amp; Auth</t>
        </is>
      </c>
      <c r="B80" s="185" t="inlineStr">
        <is>
          <t>3.3</t>
        </is>
      </c>
      <c r="C80" s="185" t="inlineStr">
        <is>
          <t>Shopify app webhook integration + checkout extension improvements</t>
        </is>
      </c>
      <c r="D80" s="185" t="inlineStr">
        <is>
          <t>Backend + Frontend</t>
        </is>
      </c>
      <c r="E80" s="185" t="inlineStr">
        <is>
          <t>—</t>
        </is>
      </c>
      <c r="F80" s="185" t="inlineStr">
        <is>
          <t>—</t>
        </is>
      </c>
    </row>
    <row r="82" ht="15" customHeight="1" s="186">
      <c r="A82" s="185" t="inlineStr">
        <is>
          <t>SPRINT 3.4 PLANNED — Platform Abstraction, Competitive Intel &amp; Final Tailwind Migration (Date: 2026-03-08)</t>
        </is>
      </c>
    </row>
    <row r="83" ht="15" customHeight="1" s="186">
      <c r="A83" s="185" t="inlineStr">
        <is>
          <t>Phase 3.4: Platform Abstraction</t>
        </is>
      </c>
      <c r="B83" s="185" t="inlineStr">
        <is>
          <t>3.4</t>
        </is>
      </c>
      <c r="C83" s="185" t="inlineStr">
        <is>
          <t>Fleetbase competitive analysis + ADR-014 platform abstraction</t>
        </is>
      </c>
      <c r="D83" s="185" t="inlineStr">
        <is>
          <t>Backend</t>
        </is>
      </c>
      <c r="E83" s="185" t="inlineStr">
        <is>
          <t>—</t>
        </is>
      </c>
      <c r="F83" s="185" t="inlineStr">
        <is>
          <t>—</t>
        </is>
      </c>
      <c r="G83" s="185" t="inlineStr">
        <is>
          <t>3 files</t>
        </is>
      </c>
      <c r="H83" s="185" t="inlineStr">
        <is>
          <t>☐</t>
        </is>
      </c>
      <c r="I83" s="185" t="inlineStr">
        <is>
          <t>AR - Arjun</t>
        </is>
      </c>
      <c r="J83" s="185" t="inlineStr">
        <is>
          <t>Architecture</t>
        </is>
      </c>
      <c r="K83" s="185" t="inlineStr">
        <is>
          <t>PLANNED</t>
        </is>
      </c>
    </row>
    <row r="84" ht="15" customHeight="1" s="186">
      <c r="A84" s="185" t="inlineStr">
        <is>
          <t>Phase 3.4: Platform Abstraction</t>
        </is>
      </c>
      <c r="B84" s="185" t="inlineStr">
        <is>
          <t>3.4</t>
        </is>
      </c>
      <c r="C84" s="185" t="inlineStr">
        <is>
          <t>Page Tailwind migration batch 10 — stores, tracking-config, admin/shops/[id], profile, activity</t>
        </is>
      </c>
      <c r="D84" s="185" t="inlineStr">
        <is>
          <t>Frontend</t>
        </is>
      </c>
      <c r="E84" s="185" t="inlineStr">
        <is>
          <t>—</t>
        </is>
      </c>
      <c r="F84" s="185" t="inlineStr">
        <is>
          <t>—</t>
        </is>
      </c>
      <c r="G84" s="185" t="inlineStr">
        <is>
          <t>5 pages, ~450 style conversions</t>
        </is>
      </c>
      <c r="H84" s="185" t="inlineStr">
        <is>
          <t>☐</t>
        </is>
      </c>
      <c r="I84" s="185" t="inlineStr">
        <is>
          <t>DM - Dev</t>
        </is>
      </c>
      <c r="J84" s="185" t="inlineStr">
        <is>
          <t>Frontend</t>
        </is>
      </c>
      <c r="K84" s="185" t="inlineStr">
        <is>
          <t>PLANNED</t>
        </is>
      </c>
    </row>
    <row r="85" ht="15" customHeight="1" s="186">
      <c r="A85" s="185" t="inlineStr">
        <is>
          <t>Phase 3.4: Platform Abstraction</t>
        </is>
      </c>
      <c r="B85" s="185" t="inlineStr">
        <is>
          <t>3.4</t>
        </is>
      </c>
      <c r="C85" s="185" t="inlineStr">
        <is>
          <t>Page Tailwind migration batch 11 — drivers, calendar, notifications, admin/customers, shipments</t>
        </is>
      </c>
      <c r="D85" s="185" t="inlineStr">
        <is>
          <t>Frontend</t>
        </is>
      </c>
      <c r="E85" s="185" t="inlineStr">
        <is>
          <t>—</t>
        </is>
      </c>
      <c r="F85" s="185" t="inlineStr">
        <is>
          <t>—</t>
        </is>
      </c>
      <c r="G85" s="185" t="inlineStr">
        <is>
          <t>5 pages, ~315 styles</t>
        </is>
      </c>
      <c r="H85" s="185" t="inlineStr">
        <is>
          <t>☐</t>
        </is>
      </c>
      <c r="I85" s="185" t="inlineStr">
        <is>
          <t>NK - Neha</t>
        </is>
      </c>
      <c r="J85" s="185" t="inlineStr">
        <is>
          <t>Frontend</t>
        </is>
      </c>
      <c r="K85" s="185" t="inlineStr">
        <is>
          <t>PLANNED</t>
        </is>
      </c>
    </row>
    <row r="86" ht="15" customHeight="1" s="186">
      <c r="A86" s="185" t="inlineStr">
        <is>
          <t>Phase 3.4: Platform Abstraction</t>
        </is>
      </c>
      <c r="B86" s="185" t="inlineStr">
        <is>
          <t>3.4</t>
        </is>
      </c>
      <c r="C86" s="185" t="inlineStr">
        <is>
          <t>Platform source abstraction — Prisma schema + queue types + consumer refactor</t>
        </is>
      </c>
      <c r="D86" s="185" t="inlineStr">
        <is>
          <t>Backend</t>
        </is>
      </c>
      <c r="E86" s="185" t="inlineStr">
        <is>
          <t>—</t>
        </is>
      </c>
      <c r="F86" s="185" t="inlineStr">
        <is>
          <t>—</t>
        </is>
      </c>
      <c r="G86" s="185" t="inlineStr">
        <is>
          <t>6 files</t>
        </is>
      </c>
      <c r="H86" s="185" t="inlineStr">
        <is>
          <t>☐</t>
        </is>
      </c>
      <c r="I86" s="185" t="inlineStr">
        <is>
          <t>RG - Rohan</t>
        </is>
      </c>
      <c r="J86" s="185" t="inlineStr">
        <is>
          <t>Core Backend</t>
        </is>
      </c>
      <c r="K86" s="185" t="inlineStr">
        <is>
          <t>PLANNED</t>
        </is>
      </c>
    </row>
    <row r="87" ht="15" customHeight="1" s="186">
      <c r="A87" s="185" t="inlineStr">
        <is>
          <t>Phase 3.4: Platform Abstraction</t>
        </is>
      </c>
      <c r="B87" s="185" t="inlineStr">
        <is>
          <t>3.4</t>
        </is>
      </c>
      <c r="C87" s="185" t="inlineStr">
        <is>
          <t>Workflow platform abstraction + API route TODO stubs</t>
        </is>
      </c>
      <c r="D87" s="185" t="inlineStr">
        <is>
          <t>Backend + Frontend</t>
        </is>
      </c>
      <c r="E87" s="185" t="inlineStr">
        <is>
          <t>—</t>
        </is>
      </c>
      <c r="F87" s="185" t="inlineStr">
        <is>
          <t>—</t>
        </is>
      </c>
      <c r="G87" s="185" t="inlineStr">
        <is>
          <t>5 files</t>
        </is>
      </c>
      <c r="H87" s="185" t="inlineStr">
        <is>
          <t>☐</t>
        </is>
      </c>
      <c r="I87" s="185" t="inlineStr">
        <is>
          <t>SP - Sanya</t>
        </is>
      </c>
      <c r="J87" s="185" t="inlineStr">
        <is>
          <t>Integrations</t>
        </is>
      </c>
      <c r="K87" s="185" t="inlineStr">
        <is>
          <t>PLANNED</t>
        </is>
      </c>
    </row>
    <row r="88" ht="15" customHeight="1" s="186">
      <c r="A88" s="185" t="inlineStr">
        <is>
          <t>Phase 3.4: Platform Abstraction</t>
        </is>
      </c>
      <c r="B88" s="185" t="inlineStr">
        <is>
          <t>3.4</t>
        </is>
      </c>
      <c r="C88" s="185" t="inlineStr">
        <is>
          <t>Page Tailwind migration batch 12 — admin/workflows/[id], widget-config, shipping-profiles, admin/workflows, locations, admin/users</t>
        </is>
      </c>
      <c r="D88" s="185" t="inlineStr">
        <is>
          <t>Frontend</t>
        </is>
      </c>
      <c r="E88" s="185" t="inlineStr">
        <is>
          <t>—</t>
        </is>
      </c>
      <c r="F88" s="185" t="inlineStr">
        <is>
          <t>—</t>
        </is>
      </c>
      <c r="G88" s="185" t="inlineStr">
        <is>
          <t>6 pages, ~176 styles</t>
        </is>
      </c>
      <c r="H88" s="185" t="inlineStr">
        <is>
          <t>☐</t>
        </is>
      </c>
      <c r="I88" s="185" t="inlineStr">
        <is>
          <t>VS - Vikram</t>
        </is>
      </c>
      <c r="J88" s="185" t="inlineStr">
        <is>
          <t>Frontend</t>
        </is>
      </c>
      <c r="K88" s="185" t="inlineStr">
        <is>
          <t>PLANNED</t>
        </is>
      </c>
    </row>
    <row r="89" ht="15" customHeight="1" s="186">
      <c r="A89" s="185" t="inlineStr">
        <is>
          <t>Phase 3.4: Platform Abstraction</t>
        </is>
      </c>
      <c r="B89" s="185" t="inlineStr">
        <is>
          <t>3.4</t>
        </is>
      </c>
      <c r="C89" s="185" t="inlineStr">
        <is>
          <t>Analytics events DI injection + billing Shopify subscription status</t>
        </is>
      </c>
      <c r="D89" s="185" t="inlineStr">
        <is>
          <t>Backend</t>
        </is>
      </c>
      <c r="E89" s="185" t="inlineStr">
        <is>
          <t>—</t>
        </is>
      </c>
      <c r="F89" s="185" t="inlineStr">
        <is>
          <t>—</t>
        </is>
      </c>
      <c r="G89" s="185" t="inlineStr">
        <is>
          <t>4 files</t>
        </is>
      </c>
      <c r="H89" s="185" t="inlineStr">
        <is>
          <t>☐</t>
        </is>
      </c>
      <c r="I89" s="185" t="inlineStr">
        <is>
          <t>PK - Priya</t>
        </is>
      </c>
      <c r="J89" s="185" t="inlineStr">
        <is>
          <t>Core Backend</t>
        </is>
      </c>
      <c r="K89" s="185" t="inlineStr">
        <is>
          <t>PLANNED</t>
        </is>
      </c>
    </row>
    <row r="90" ht="15" customHeight="1" s="186">
      <c r="A90" s="185" t="inlineStr">
        <is>
          <t>Phase 3.4: Platform Abstraction</t>
        </is>
      </c>
      <c r="B90" s="185" t="inlineStr">
        <is>
          <t>3.4</t>
        </is>
      </c>
      <c r="C90" s="185" t="inlineStr">
        <is>
          <t>Platform abstraction tests + regression tests for refactored consumers</t>
        </is>
      </c>
      <c r="D90" s="185" t="inlineStr">
        <is>
          <t>QA</t>
        </is>
      </c>
      <c r="E90" s="185" t="inlineStr">
        <is>
          <t>—</t>
        </is>
      </c>
      <c r="F90" s="185" t="inlineStr">
        <is>
          <t>—</t>
        </is>
      </c>
      <c r="G90" s="185" t="inlineStr">
        <is>
          <t>4 test suites</t>
        </is>
      </c>
      <c r="H90" s="185" t="inlineStr">
        <is>
          <t>☐</t>
        </is>
      </c>
      <c r="I90" s="185" t="inlineStr">
        <is>
          <t>KS - Kavitha</t>
        </is>
      </c>
      <c r="J90" s="185" t="inlineStr">
        <is>
          <t>QA</t>
        </is>
      </c>
      <c r="K90" s="185" t="inlineStr">
        <is>
          <t>PLANNED</t>
        </is>
      </c>
    </row>
    <row r="91" ht="15" customHeight="1" s="186">
      <c r="A91" s="185" t="inlineStr">
        <is>
          <t>Phase 3.4: Platform Abstraction</t>
        </is>
      </c>
      <c r="B91" s="185" t="inlineStr">
        <is>
          <t>3.4</t>
        </is>
      </c>
      <c r="C91" s="185" t="inlineStr">
        <is>
          <t>Collections platform abstraction + collections Shopify GraphQL adapter</t>
        </is>
      </c>
      <c r="D91" s="185" t="inlineStr">
        <is>
          <t>Backend + Frontend</t>
        </is>
      </c>
      <c r="E91" s="185" t="inlineStr">
        <is>
          <t>—</t>
        </is>
      </c>
      <c r="F91" s="185" t="inlineStr">
        <is>
          <t>—</t>
        </is>
      </c>
      <c r="G91" s="185" t="inlineStr">
        <is>
          <t>4 files</t>
        </is>
      </c>
      <c r="H91" s="185" t="inlineStr">
        <is>
          <t>☐</t>
        </is>
      </c>
      <c r="I91" s="185" t="inlineStr">
        <is>
          <t>AM - Aisha</t>
        </is>
      </c>
      <c r="J91" s="185" t="inlineStr">
        <is>
          <t>Platform</t>
        </is>
      </c>
      <c r="K91" s="185" t="inlineStr">
        <is>
          <t>PLANNED</t>
        </is>
      </c>
    </row>
    <row r="93" ht="15" customHeight="1" s="186">
      <c r="A93" s="287" t="inlineStr">
        <is>
          <t>Phase 3: Competitive Parity</t>
        </is>
      </c>
    </row>
    <row r="94" ht="23.25" customHeight="1" s="186">
      <c r="A94" s="215" t="inlineStr">
        <is>
          <t>Phase 3: Competitive Parity</t>
        </is>
      </c>
      <c r="B94" s="215" t="inlineStr">
        <is>
          <t>4.5</t>
        </is>
      </c>
      <c r="C94" s="215" t="inlineStr">
        <is>
          <t>Route Timeline Dispatcher Dashboard</t>
        </is>
      </c>
      <c r="D94" s="215" t="inlineStr">
        <is>
          <t>Frontend + Backend</t>
        </is>
      </c>
      <c r="E94" s="215" t="inlineStr">
        <is>
          <t>2 weeks</t>
        </is>
      </c>
      <c r="F94" s="215" t="inlineStr">
        <is>
          <t>Event Bus, Route Optimization</t>
        </is>
      </c>
      <c r="G94" s="215" t="inlineStr">
        <is>
          <t>Routific-quality dispatch view with color-coded routes + timeline</t>
        </is>
      </c>
      <c r="H94" s="215" t="inlineStr">
        <is>
          <t>☐</t>
        </is>
      </c>
      <c r="I94" s="215" t="inlineStr">
        <is>
          <t>AR - Arjun</t>
        </is>
      </c>
      <c r="J94" s="215" t="inlineStr">
        <is>
          <t>Architecture</t>
        </is>
      </c>
      <c r="K94" s="215" t="inlineStr">
        <is>
          <t>PLANNED</t>
        </is>
      </c>
    </row>
    <row r="95" ht="23.25" customHeight="1" s="186">
      <c r="A95" s="215" t="inlineStr">
        <is>
          <t>Phase 3: Competitive Parity</t>
        </is>
      </c>
      <c r="B95" s="215" t="inlineStr">
        <is>
          <t>4.5</t>
        </is>
      </c>
      <c r="C95" s="215" t="inlineStr">
        <is>
          <t>Checkout Date/Time Picker Widget</t>
        </is>
      </c>
      <c r="D95" s="215" t="inlineStr">
        <is>
          <t>Frontend + Package</t>
        </is>
      </c>
      <c r="E95" s="215" t="inlineStr">
        <is>
          <t>2 weeks</t>
        </is>
      </c>
      <c r="F95" s="215" t="inlineStr">
        <is>
          <t>Slot Engine API</t>
        </is>
      </c>
      <c r="G95" s="215" t="inlineStr">
        <is>
          <t>Pickeasy-quality embeddable widget with slots, blackout, zip validation</t>
        </is>
      </c>
      <c r="H95" s="215" t="inlineStr">
        <is>
          <t>☐</t>
        </is>
      </c>
      <c r="I95" s="215" t="inlineStr">
        <is>
          <t>NK - Nikhil</t>
        </is>
      </c>
      <c r="J95" s="215" t="inlineStr">
        <is>
          <t>Frontend</t>
        </is>
      </c>
      <c r="K95" s="215" t="inlineStr">
        <is>
          <t>PLANNED</t>
        </is>
      </c>
    </row>
    <row r="96" ht="23.25" customHeight="1" s="186">
      <c r="A96" s="215" t="inlineStr">
        <is>
          <t>Phase 3: Competitive Parity</t>
        </is>
      </c>
      <c r="B96" s="215" t="inlineStr">
        <is>
          <t>4.5</t>
        </is>
      </c>
      <c r="C96" s="215" t="inlineStr">
        <is>
          <t>Customer Self-Service Portal</t>
        </is>
      </c>
      <c r="D96" s="215" t="inlineStr">
        <is>
          <t>Frontend (New App)</t>
        </is>
      </c>
      <c r="E96" s="215" t="inlineStr">
        <is>
          <t>2 weeks</t>
        </is>
      </c>
      <c r="F96" s="215" t="inlineStr">
        <is>
          <t>Auth, Orders API</t>
        </is>
      </c>
      <c r="G96" s="215" t="inlineStr">
        <is>
          <t>Next.js portal: order history, tracking, reschedule, preferences</t>
        </is>
      </c>
      <c r="H96" s="215" t="inlineStr">
        <is>
          <t>☐</t>
        </is>
      </c>
      <c r="I96" s="215" t="inlineStr">
        <is>
          <t>DM - Deepak</t>
        </is>
      </c>
      <c r="J96" s="215" t="inlineStr">
        <is>
          <t>Frontend</t>
        </is>
      </c>
      <c r="K96" s="215" t="inlineStr">
        <is>
          <t>PLANNED</t>
        </is>
      </c>
    </row>
    <row r="97" ht="23.25" customHeight="1" s="186">
      <c r="A97" s="215" t="inlineStr">
        <is>
          <t>Phase 3: Competitive Parity</t>
        </is>
      </c>
      <c r="B97" s="215" t="inlineStr">
        <is>
          <t>4.5</t>
        </is>
      </c>
      <c r="C97" s="215" t="inlineStr">
        <is>
          <t>Slot Engine API &amp; Capacity Management</t>
        </is>
      </c>
      <c r="D97" s="215" t="inlineStr">
        <is>
          <t>Backend</t>
        </is>
      </c>
      <c r="E97" s="215" t="inlineStr">
        <is>
          <t>1.5 weeks</t>
        </is>
      </c>
      <c r="F97" s="215" t="inlineStr">
        <is>
          <t>Prisma models</t>
        </is>
      </c>
      <c r="G97" s="215" t="inlineStr">
        <is>
          <t>Slot availability, capacity limits, zone-rate calculator, deadlines</t>
        </is>
      </c>
      <c r="H97" s="215" t="inlineStr">
        <is>
          <t>☐</t>
        </is>
      </c>
      <c r="I97" s="215" t="inlineStr">
        <is>
          <t>RG - Rahul</t>
        </is>
      </c>
      <c r="J97" s="215" t="inlineStr">
        <is>
          <t>Core Backend</t>
        </is>
      </c>
      <c r="K97" s="215" t="inlineStr">
        <is>
          <t>PLANNED</t>
        </is>
      </c>
    </row>
    <row r="98" ht="23.25" customHeight="1" s="186">
      <c r="A98" s="215" t="inlineStr">
        <is>
          <t>Phase 3: Competitive Parity</t>
        </is>
      </c>
      <c r="B98" s="215" t="inlineStr">
        <is>
          <t>4.5</t>
        </is>
      </c>
      <c r="C98" s="215" t="inlineStr">
        <is>
          <t>POD v2: Photo + Signature + QR</t>
        </is>
      </c>
      <c r="D98" s="215" t="inlineStr">
        <is>
          <t>Backend + Mobile</t>
        </is>
      </c>
      <c r="E98" s="215" t="inlineStr">
        <is>
          <t>2 weeks</t>
        </is>
      </c>
      <c r="F98" s="215" t="inlineStr">
        <is>
          <t>S3/R2 storage</t>
        </is>
      </c>
      <c r="G98" s="215" t="inlineStr">
        <is>
          <t>Multi-method POD with delivery status timeline + cloud storage</t>
        </is>
      </c>
      <c r="H98" s="215" t="inlineStr">
        <is>
          <t>☐</t>
        </is>
      </c>
      <c r="I98" s="215" t="inlineStr">
        <is>
          <t>PK - Priya</t>
        </is>
      </c>
      <c r="J98" s="215" t="inlineStr">
        <is>
          <t>Core Backend</t>
        </is>
      </c>
      <c r="K98" s="215" t="inlineStr">
        <is>
          <t>PLANNED</t>
        </is>
      </c>
    </row>
    <row r="99" ht="23.25" customHeight="1" s="186">
      <c r="A99" s="215" t="inlineStr">
        <is>
          <t>Phase 3: Competitive Parity</t>
        </is>
      </c>
      <c r="B99" s="215" t="inlineStr">
        <is>
          <t>4.5</t>
        </is>
      </c>
      <c r="C99" s="215" t="inlineStr">
        <is>
          <t>Customer Notification Engine v2</t>
        </is>
      </c>
      <c r="D99" s="215" t="inlineStr">
        <is>
          <t>Backend + Integration</t>
        </is>
      </c>
      <c r="E99" s="215" t="inlineStr">
        <is>
          <t>2 weeks</t>
        </is>
      </c>
      <c r="F99" s="215" t="inlineStr">
        <is>
          <t>Twilio, Meta Business</t>
        </is>
      </c>
      <c r="G99" s="215" t="inlineStr">
        <is>
          <t>Email + SMS + WhatsApp + push with template engine</t>
        </is>
      </c>
      <c r="H99" s="215" t="inlineStr">
        <is>
          <t>☐</t>
        </is>
      </c>
      <c r="I99" s="215" t="inlineStr">
        <is>
          <t>SP - Sanjay</t>
        </is>
      </c>
      <c r="J99" s="215" t="inlineStr">
        <is>
          <t>Full-stack</t>
        </is>
      </c>
      <c r="K99" s="215" t="inlineStr">
        <is>
          <t>PLANNED</t>
        </is>
      </c>
    </row>
    <row r="100" ht="23.25" customHeight="1" s="186">
      <c r="A100" s="215" t="inlineStr">
        <is>
          <t>Phase 3: Competitive Parity</t>
        </is>
      </c>
      <c r="B100" s="215" t="inlineStr">
        <is>
          <t>4.5</t>
        </is>
      </c>
      <c r="C100" s="215" t="inlineStr">
        <is>
          <t>Checkout &amp; Dispatch Component Library</t>
        </is>
      </c>
      <c r="D100" s="215" t="inlineStr">
        <is>
          <t>Frontend</t>
        </is>
      </c>
      <c r="E100" s="215" t="inlineStr">
        <is>
          <t>1.5 weeks</t>
        </is>
      </c>
      <c r="F100" s="215" t="inlineStr">
        <is>
          <t>Design system</t>
        </is>
      </c>
      <c r="G100" s="215" t="inlineStr">
        <is>
          <t>DatePicker, TimeSlotGrid, RouteTimeline, DriverCard, StopMarker</t>
        </is>
      </c>
      <c r="H100" s="215" t="inlineStr">
        <is>
          <t>☐</t>
        </is>
      </c>
      <c r="I100" s="215" t="inlineStr">
        <is>
          <t>VS - Vikram</t>
        </is>
      </c>
      <c r="J100" s="215" t="inlineStr">
        <is>
          <t>Frontend</t>
        </is>
      </c>
      <c r="K100" s="215" t="inlineStr">
        <is>
          <t>PLANNED</t>
        </is>
      </c>
    </row>
    <row r="101" ht="23.25" customHeight="1" s="186">
      <c r="A101" s="215" t="inlineStr">
        <is>
          <t>Phase 3: Competitive Parity</t>
        </is>
      </c>
      <c r="B101" s="215" t="inlineStr">
        <is>
          <t>4.5</t>
        </is>
      </c>
      <c r="C101" s="215" t="inlineStr">
        <is>
          <t>E2E: Dispatch, Checkout &amp; Portal</t>
        </is>
      </c>
      <c r="D101" s="215" t="inlineStr">
        <is>
          <t>QA</t>
        </is>
      </c>
      <c r="E101" s="215" t="inlineStr">
        <is>
          <t>2 weeks</t>
        </is>
      </c>
      <c r="F101" s="215" t="inlineStr">
        <is>
          <t>All Sprint 4.5 features</t>
        </is>
      </c>
      <c r="G101" s="215" t="inlineStr">
        <is>
          <t>Playwright suites for dispatch, checkout, portal, POD, notifications</t>
        </is>
      </c>
      <c r="H101" s="215" t="inlineStr">
        <is>
          <t>☐</t>
        </is>
      </c>
      <c r="I101" s="215" t="inlineStr">
        <is>
          <t>KS - Kavitha</t>
        </is>
      </c>
      <c r="J101" s="215" t="inlineStr">
        <is>
          <t>QA</t>
        </is>
      </c>
      <c r="K101" s="215" t="inlineStr">
        <is>
          <t>PLANNED</t>
        </is>
      </c>
    </row>
    <row r="102" ht="23.25" customHeight="1" s="186">
      <c r="A102" s="215" t="inlineStr">
        <is>
          <t>Phase 3: Competitive Parity</t>
        </is>
      </c>
      <c r="B102" s="215" t="inlineStr">
        <is>
          <t>4.5</t>
        </is>
      </c>
      <c r="C102" s="215" t="inlineStr">
        <is>
          <t>Shopify Checkout Extension + Google Maps</t>
        </is>
      </c>
      <c r="D102" s="215" t="inlineStr">
        <is>
          <t>Integration</t>
        </is>
      </c>
      <c r="E102" s="215" t="inlineStr">
        <is>
          <t>2 weeks</t>
        </is>
      </c>
      <c r="F102" s="215" t="inlineStr">
        <is>
          <t>Checkout widget</t>
        </is>
      </c>
      <c r="G102" s="215" t="inlineStr">
        <is>
          <t>Shopify extension, Google Maps zone viz, Calendar sync</t>
        </is>
      </c>
      <c r="H102" s="215" t="inlineStr">
        <is>
          <t>☐</t>
        </is>
      </c>
      <c r="I102" s="215" t="inlineStr">
        <is>
          <t>AM - Aisha</t>
        </is>
      </c>
      <c r="J102" s="215" t="inlineStr">
        <is>
          <t>Platform</t>
        </is>
      </c>
      <c r="K102" s="215" t="inlineStr">
        <is>
          <t>PLANNED</t>
        </is>
      </c>
    </row>
    <row r="103" ht="23.25" customHeight="1" s="186">
      <c r="A103" s="215" t="inlineStr">
        <is>
          <t>Phase 3: Competitive Parity</t>
        </is>
      </c>
      <c r="B103" s="215" t="inlineStr">
        <is>
          <t>4.5</t>
        </is>
      </c>
      <c r="C103" s="215" t="inlineStr">
        <is>
          <t>Smart Slot Recommendation + ML ETA</t>
        </is>
      </c>
      <c r="D103" s="215" t="inlineStr">
        <is>
          <t>AI/ML</t>
        </is>
      </c>
      <c r="E103" s="215" t="inlineStr">
        <is>
          <t>2 weeks</t>
        </is>
      </c>
      <c r="F103" s="215" t="inlineStr">
        <is>
          <t>Slot Engine, historical data</t>
        </is>
      </c>
      <c r="G103" s="215" t="inlineStr">
        <is>
          <t>ML slot recommender + traffic-aware ETA (3-5 models)</t>
        </is>
      </c>
      <c r="H103" s="215" t="inlineStr">
        <is>
          <t>☐</t>
        </is>
      </c>
      <c r="I103" s="215" t="inlineStr">
        <is>
          <t>ZR - Zara</t>
        </is>
      </c>
      <c r="J103" s="215" t="inlineStr">
        <is>
          <t>AI</t>
        </is>
      </c>
      <c r="K103" s="215" t="inlineStr">
        <is>
          <t>PLANNED</t>
        </is>
      </c>
    </row>
    <row r="104" ht="23.25" customHeight="1" s="186">
      <c r="A104" s="215" t="inlineStr">
        <is>
          <t>Phase 3: Competitive Parity</t>
        </is>
      </c>
      <c r="B104" s="215" t="inlineStr">
        <is>
          <t>4.6</t>
        </is>
      </c>
      <c r="C104" s="215" t="inlineStr">
        <is>
          <t>WooCommerce Deep Integration</t>
        </is>
      </c>
      <c r="D104" s="215" t="inlineStr">
        <is>
          <t>Integration</t>
        </is>
      </c>
      <c r="E104" s="215" t="inlineStr">
        <is>
          <t>2 weeks</t>
        </is>
      </c>
      <c r="F104" s="215" t="inlineStr">
        <is>
          <t>Checkout widget, Orders API</t>
        </is>
      </c>
      <c r="G104" s="215" t="inlineStr">
        <is>
          <t>WooCommerce REST API adapter, checkout block, webhook sync</t>
        </is>
      </c>
      <c r="H104" s="215" t="inlineStr">
        <is>
          <t>☐</t>
        </is>
      </c>
      <c r="I104" s="215" t="inlineStr">
        <is>
          <t>AM - Aisha</t>
        </is>
      </c>
      <c r="J104" s="215" t="inlineStr">
        <is>
          <t>Platform</t>
        </is>
      </c>
      <c r="K104" s="215" t="inlineStr">
        <is>
          <t>PLANNED</t>
        </is>
      </c>
    </row>
    <row r="105" ht="23.25" customHeight="1" s="186">
      <c r="A105" s="215" t="inlineStr">
        <is>
          <t>Phase 3: Competitive Parity</t>
        </is>
      </c>
      <c r="B105" s="215" t="inlineStr">
        <is>
          <t>4.6</t>
        </is>
      </c>
      <c r="C105" s="215" t="inlineStr">
        <is>
          <t>Google Maps &amp; Calendar Native Integration</t>
        </is>
      </c>
      <c r="D105" s="215" t="inlineStr">
        <is>
          <t>Integration</t>
        </is>
      </c>
      <c r="E105" s="215" t="inlineStr">
        <is>
          <t>1 week</t>
        </is>
      </c>
      <c r="F105" s="215" t="inlineStr">
        <is>
          <t>Maps JS API</t>
        </is>
      </c>
      <c r="G105" s="215" t="inlineStr">
        <is>
          <t>Zone visualization, address autocomplete, Calendar order reminders</t>
        </is>
      </c>
      <c r="H105" s="215" t="inlineStr">
        <is>
          <t>☐</t>
        </is>
      </c>
      <c r="I105" s="215" t="inlineStr">
        <is>
          <t>NK - Nikhil</t>
        </is>
      </c>
      <c r="J105" s="215" t="inlineStr">
        <is>
          <t>Frontend</t>
        </is>
      </c>
      <c r="K105" s="215" t="inlineStr">
        <is>
          <t>PLANNED</t>
        </is>
      </c>
    </row>
    <row r="106" ht="23.25" customHeight="1" s="186">
      <c r="A106" s="215" t="inlineStr">
        <is>
          <t>Phase 3: Competitive Parity</t>
        </is>
      </c>
      <c r="B106" s="215" t="inlineStr">
        <is>
          <t>4.6</t>
        </is>
      </c>
      <c r="C106" s="215" t="inlineStr">
        <is>
          <t>Planned-vs-Actual Reporting</t>
        </is>
      </c>
      <c r="D106" s="215" t="inlineStr">
        <is>
          <t>Analytics</t>
        </is>
      </c>
      <c r="E106" s="215" t="inlineStr">
        <is>
          <t>2 weeks</t>
        </is>
      </c>
      <c r="F106" s="215" t="inlineStr">
        <is>
          <t>GPS tracking, Route data</t>
        </is>
      </c>
      <c r="G106" s="215" t="inlineStr">
        <is>
          <t>Route analytics, on-time %, driver scorecard, CO2 tracking</t>
        </is>
      </c>
      <c r="H106" s="215" t="inlineStr">
        <is>
          <t>☐</t>
        </is>
      </c>
      <c r="I106" s="215" t="inlineStr">
        <is>
          <t>AR - Arjun</t>
        </is>
      </c>
      <c r="J106" s="215" t="inlineStr">
        <is>
          <t>Architecture</t>
        </is>
      </c>
      <c r="K106" s="215" t="inlineStr">
        <is>
          <t>PLANNED</t>
        </is>
      </c>
    </row>
    <row r="107" ht="23.25" customHeight="1" s="186">
      <c r="A107" s="215" t="inlineStr">
        <is>
          <t>Phase 3: Competitive Parity</t>
        </is>
      </c>
      <c r="B107" s="215" t="inlineStr">
        <is>
          <t>4.7</t>
        </is>
      </c>
      <c r="C107" s="215" t="inlineStr">
        <is>
          <t>Telematics Gateway (Samsara + Geotab)</t>
        </is>
      </c>
      <c r="D107" s="215" t="inlineStr">
        <is>
          <t>Integration + Backend</t>
        </is>
      </c>
      <c r="E107" s="215" t="inlineStr">
        <is>
          <t>3 weeks</t>
        </is>
      </c>
      <c r="F107" s="215" t="inlineStr">
        <is>
          <t>Fleet module</t>
        </is>
      </c>
      <c r="G107" s="215" t="inlineStr">
        <is>
          <t>Adapter layer for Samsara, Geotab, Verizon, Motive</t>
        </is>
      </c>
      <c r="H107" s="215" t="inlineStr">
        <is>
          <t>☐</t>
        </is>
      </c>
      <c r="I107" s="215" t="inlineStr">
        <is>
          <t>AM - Aisha</t>
        </is>
      </c>
      <c r="J107" s="215" t="inlineStr">
        <is>
          <t>Platform</t>
        </is>
      </c>
      <c r="K107" s="215" t="inlineStr">
        <is>
          <t>PLANNED</t>
        </is>
      </c>
    </row>
    <row r="108" ht="23.25" customHeight="1" s="186">
      <c r="A108" s="215" t="inlineStr">
        <is>
          <t>Phase 3: Competitive Parity</t>
        </is>
      </c>
      <c r="B108" s="215" t="inlineStr">
        <is>
          <t>4.7</t>
        </is>
      </c>
      <c r="C108" s="215" t="inlineStr">
        <is>
          <t>ML-Powered ETA Engine (Traffic-Aware)</t>
        </is>
      </c>
      <c r="D108" s="215" t="inlineStr">
        <is>
          <t>AI/ML</t>
        </is>
      </c>
      <c r="E108" s="215" t="inlineStr">
        <is>
          <t>3 weeks</t>
        </is>
      </c>
      <c r="F108" s="215" t="inlineStr">
        <is>
          <t>Google Directions API</t>
        </is>
      </c>
      <c r="G108" s="215" t="inlineStr">
        <is>
          <t>Traffic-aware ETA with 3-5 ML models, fallback to statistical</t>
        </is>
      </c>
      <c r="H108" s="215" t="inlineStr">
        <is>
          <t>☐</t>
        </is>
      </c>
      <c r="I108" s="215" t="inlineStr">
        <is>
          <t>ZR - Zara</t>
        </is>
      </c>
      <c r="J108" s="215" t="inlineStr">
        <is>
          <t>AI</t>
        </is>
      </c>
      <c r="K108" s="215" t="inlineStr">
        <is>
          <t>PLANNED</t>
        </is>
      </c>
    </row>
    <row r="109" ht="23.25" customHeight="1" s="186">
      <c r="A109" s="215" t="inlineStr">
        <is>
          <t>Phase 3: Competitive Parity</t>
        </is>
      </c>
      <c r="B109" s="215" t="inlineStr">
        <is>
          <t>4.8</t>
        </is>
      </c>
      <c r="C109" s="215" t="inlineStr">
        <is>
          <t>Partner Directory &amp; Courier Ecosystem</t>
        </is>
      </c>
      <c r="D109" s="215" t="inlineStr">
        <is>
          <t>Integration</t>
        </is>
      </c>
      <c r="E109" s="215" t="inlineStr">
        <is>
          <t>3 weeks</t>
        </is>
      </c>
      <c r="F109" s="215" t="inlineStr">
        <is>
          <t>Courier API adapters</t>
        </is>
      </c>
      <c r="G109" s="215" t="inlineStr">
        <is>
          <t>Onfleet, Stuart, Uber Direct adapters + partner directory</t>
        </is>
      </c>
      <c r="H109" s="215" t="inlineStr">
        <is>
          <t>☐</t>
        </is>
      </c>
      <c r="I109" s="215" t="inlineStr">
        <is>
          <t>AM - Aisha</t>
        </is>
      </c>
      <c r="J109" s="215" t="inlineStr">
        <is>
          <t>Platform</t>
        </is>
      </c>
      <c r="K109" s="215" t="inlineStr">
        <is>
          <t>PLANNED</t>
        </is>
      </c>
    </row>
    <row r="110" ht="23.25" customHeight="1" s="186">
      <c r="A110" s="215" t="inlineStr">
        <is>
          <t>Phase 3: Competitive Parity</t>
        </is>
      </c>
      <c r="B110" s="215" t="inlineStr">
        <is>
          <t>4.9</t>
        </is>
      </c>
      <c r="C110" s="215" t="inlineStr">
        <is>
          <t>Automated Invoicing Engine</t>
        </is>
      </c>
      <c r="D110" s="215" t="inlineStr">
        <is>
          <t>Backend</t>
        </is>
      </c>
      <c r="E110" s="215" t="inlineStr">
        <is>
          <t>2 weeks</t>
        </is>
      </c>
      <c r="F110" s="215" t="inlineStr">
        <is>
          <t>Orders, Billing module</t>
        </is>
      </c>
      <c r="G110" s="215" t="inlineStr">
        <is>
          <t>Per-delivery/route invoicing, PDF generation, QuickBooks/Xero</t>
        </is>
      </c>
      <c r="H110" s="215" t="inlineStr">
        <is>
          <t>☐</t>
        </is>
      </c>
      <c r="I110" s="215" t="inlineStr">
        <is>
          <t>RG - Rahul</t>
        </is>
      </c>
      <c r="J110" s="215" t="inlineStr">
        <is>
          <t>Core Backend</t>
        </is>
      </c>
      <c r="K110" s="215" t="inlineStr">
        <is>
          <t>PLANNED</t>
        </is>
      </c>
    </row>
    <row r="111" ht="23.25" customHeight="1" s="186">
      <c r="A111" s="215" t="inlineStr">
        <is>
          <t>Phase 4: Market Leadership</t>
        </is>
      </c>
      <c r="B111" s="215" t="inlineStr">
        <is>
          <t>5.0</t>
        </is>
      </c>
      <c r="C111" s="215" t="inlineStr">
        <is>
          <t>AI Demand Prediction &amp; Smart Scheduling</t>
        </is>
      </c>
      <c r="D111" s="215" t="inlineStr">
        <is>
          <t>AI/ML</t>
        </is>
      </c>
      <c r="E111" s="215" t="inlineStr">
        <is>
          <t>4 weeks</t>
        </is>
      </c>
      <c r="F111" s="215" t="inlineStr">
        <is>
          <t>Historical delivery data</t>
        </is>
      </c>
      <c r="G111" s="215" t="inlineStr">
        <is>
          <t>Time-series demand forecasting, auto capacity adjustment</t>
        </is>
      </c>
      <c r="H111" s="215" t="inlineStr">
        <is>
          <t>☐</t>
        </is>
      </c>
      <c r="I111" s="215" t="inlineStr">
        <is>
          <t>ZR - Zara</t>
        </is>
      </c>
      <c r="J111" s="215" t="inlineStr">
        <is>
          <t>AI</t>
        </is>
      </c>
      <c r="K111" s="215" t="inlineStr">
        <is>
          <t>PLANNED</t>
        </is>
      </c>
    </row>
  </sheetData>
  <autoFilter ref="A1:K36"/>
  <mergeCells count="1">
    <mergeCell ref="A93:K93"/>
  </mergeCells>
  <dataValidations count="3">
    <dataValidation sqref="H2:H36" showDropDown="0" showInputMessage="0" showErrorMessage="0" allowBlank="1" errorTitle="Invalid" error="Use ☐ or ☑" type="list" errorStyle="stop" operator="between">
      <formula1>"☐,☑"</formula1>
      <formula2>0</formula2>
    </dataValidation>
    <dataValidation sqref="I2:I36" showDropDown="0" showInputMessage="0" showErrorMessage="0" allowBlank="1" type="list" errorStyle="stop" operator="between">
      <formula1>"AR,PK,VS,NK,DM,SP,RG,AM,KS,PAIR,ALL"</formula1>
      <formula2>0</formula2>
    </dataValidation>
    <dataValidation sqref="K2:K36" showDropDown="0" showInputMessage="0" showErrorMessage="0" allowBlank="1" type="list" errorStyle="stop" operator="between">
      <formula1>"NOT STARTED,IN PROGRESS,IN REVIEW,BLOCKED,DONE"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FB923C"/>
    <outlinePr summaryBelow="1" summaryRight="1"/>
    <pageSetUpPr fitToPage="0"/>
  </sheetPr>
  <dimension ref="A1:AD125"/>
  <sheetViews>
    <sheetView showFormulas="0" showGridLines="1" showRowColHeaders="1" showZeros="1" rightToLeft="0" tabSelected="0" showOutlineSymbols="1" defaultGridColor="1" view="normal" topLeftCell="A25" colorId="64" zoomScale="100" zoomScaleNormal="100" zoomScalePageLayoutView="100" workbookViewId="0">
      <selection pane="topLeft" activeCell="A1" activeCellId="0" sqref="A1"/>
    </sheetView>
  </sheetViews>
  <sheetFormatPr baseColWidth="8" defaultColWidth="8.66796875" defaultRowHeight="15" customHeight="1" zeroHeight="0" outlineLevelRow="0"/>
  <cols>
    <col width="20" customWidth="1" style="185" min="1" max="1"/>
    <col width="61.83" customWidth="1" style="185" min="2" max="2"/>
    <col width="9.67" customWidth="1" style="185" min="3" max="8"/>
  </cols>
  <sheetData>
    <row r="1" ht="17.25" customHeight="1" s="186">
      <c r="A1" s="209" t="inlineStr">
        <is>
          <t>Gap Statistics Summary</t>
        </is>
      </c>
      <c r="AA1" s="288" t="inlineStr">
        <is>
          <t>Sprint 4.5</t>
        </is>
      </c>
      <c r="AB1" s="289" t="inlineStr">
        <is>
          <t>Sprint 4.6</t>
        </is>
      </c>
      <c r="AC1" s="370" t="inlineStr">
        <is>
          <t>Sprint 4.7</t>
        </is>
      </c>
    </row>
    <row r="2">
      <c r="AD2" t="inlineStr">
        <is>
          <t>Sprint 4.8</t>
        </is>
      </c>
    </row>
    <row r="3" ht="15" customHeight="1" s="186">
      <c r="A3" s="189" t="inlineStr">
        <is>
          <t>SPRINT PROGRESS (as of Sprint 4.5)</t>
        </is>
      </c>
      <c r="B3" s="189" t="inlineStr">
        <is>
          <t>SPRINT PROGRESS (as of Sprint 4.7)</t>
        </is>
      </c>
      <c r="C3" s="189" t="n"/>
      <c r="D3" s="189" t="n"/>
      <c r="E3" s="189" t="n"/>
      <c r="AA3" s="290" t="inlineStr">
        <is>
          <t>Customer Experience &amp; Checkout</t>
        </is>
      </c>
      <c r="AD3" t="n">
        <v>2600</v>
      </c>
    </row>
    <row r="4" ht="15" customHeight="1" s="186">
      <c r="A4" s="196" t="inlineStr">
        <is>
          <t>Last Updated: Sprint 4.5 (2026-03-11)</t>
        </is>
      </c>
      <c r="B4" s="196" t="inlineStr">
        <is>
          <t>Last Updated: Sprint 4.7 (2026-03-11)</t>
        </is>
      </c>
      <c r="C4" s="196" t="n"/>
      <c r="D4" s="196" t="n"/>
      <c r="E4" s="196" t="n"/>
      <c r="AA4" s="290" t="inlineStr">
        <is>
          <t>1 (customer-portal)</t>
        </is>
      </c>
      <c r="AD4" t="n">
        <v>883700</v>
      </c>
    </row>
    <row r="5" ht="15" customHeight="1" s="186">
      <c r="A5" s="291" t="inlineStr">
        <is>
          <t>Metric</t>
        </is>
      </c>
      <c r="B5" s="291" t="inlineStr">
        <is>
          <t>Sprint 1.1</t>
        </is>
      </c>
      <c r="C5" s="291" t="inlineStr">
        <is>
          <t>Sprint 1.2</t>
        </is>
      </c>
      <c r="D5" s="291" t="inlineStr">
        <is>
          <t>Sprint 2.0</t>
        </is>
      </c>
      <c r="E5" s="291" t="inlineStr">
        <is>
          <t>Sprint 2.1</t>
        </is>
      </c>
      <c r="F5" s="292" t="inlineStr">
        <is>
          <t>Sprint 2.3</t>
        </is>
      </c>
      <c r="G5" s="292" t="inlineStr">
        <is>
          <t>Sprint 2.4</t>
        </is>
      </c>
      <c r="H5" s="292" t="inlineStr">
        <is>
          <t>Sprint 2.5</t>
        </is>
      </c>
      <c r="I5" s="293" t="inlineStr">
        <is>
          <t>Sprint 2.6</t>
        </is>
      </c>
      <c r="J5" s="294" t="inlineStr">
        <is>
          <t>Sprint 2.7</t>
        </is>
      </c>
      <c r="K5" s="295" t="inlineStr">
        <is>
          <t>Sprint 2.8</t>
        </is>
      </c>
      <c r="L5" s="295" t="inlineStr">
        <is>
          <t>Sprint 2.9</t>
        </is>
      </c>
      <c r="M5" s="296" t="inlineStr">
        <is>
          <t>Sprint 3.0</t>
        </is>
      </c>
      <c r="N5" s="292" t="inlineStr">
        <is>
          <t>Sprint 3.1</t>
        </is>
      </c>
      <c r="O5" s="185" t="inlineStr">
        <is>
          <t>Sprint 3.3</t>
        </is>
      </c>
      <c r="P5" s="292" t="inlineStr">
        <is>
          <t>Sprint 3.4</t>
        </is>
      </c>
      <c r="Q5" s="292" t="inlineStr">
        <is>
          <t>Sprint 3.5</t>
        </is>
      </c>
      <c r="R5" s="297" t="inlineStr">
        <is>
          <t>Sprint 3.6</t>
        </is>
      </c>
      <c r="S5" s="298" t="inlineStr">
        <is>
          <t>Sprint 3.7</t>
        </is>
      </c>
      <c r="T5" s="297" t="inlineStr">
        <is>
          <t>Sprint 3.8</t>
        </is>
      </c>
      <c r="U5" s="297" t="inlineStr">
        <is>
          <t>Sprint 3.9</t>
        </is>
      </c>
      <c r="V5" s="297" t="inlineStr">
        <is>
          <t>Sprint 4.0</t>
        </is>
      </c>
      <c r="W5" s="297" t="inlineStr">
        <is>
          <t>Sprint 4.1</t>
        </is>
      </c>
      <c r="X5" s="297" t="inlineStr">
        <is>
          <t>Sprint 4.2</t>
        </is>
      </c>
      <c r="Y5" s="297" t="inlineStr">
        <is>
          <t>Sprint 4.3</t>
        </is>
      </c>
      <c r="Z5" s="297" t="inlineStr">
        <is>
          <t>Sprint 4.4</t>
        </is>
      </c>
      <c r="AA5" s="299" t="inlineStr">
        <is>
          <t>Sprint 4.5</t>
        </is>
      </c>
      <c r="AB5" s="300" t="n">
        <v>3280</v>
      </c>
      <c r="AC5" s="371" t="n">
        <v>2467</v>
      </c>
      <c r="AD5" t="n">
        <v>94</v>
      </c>
    </row>
    <row r="6" ht="15" customHeight="1" s="186">
      <c r="A6" s="196" t="inlineStr">
        <is>
          <t>Source Files</t>
        </is>
      </c>
      <c r="B6" s="196" t="n">
        <v>184</v>
      </c>
      <c r="C6" s="196" t="n">
        <v>258</v>
      </c>
      <c r="D6" s="196" t="n">
        <v>325</v>
      </c>
      <c r="E6" s="196" t="n">
        <v>418</v>
      </c>
      <c r="F6" s="185" t="n">
        <v>429</v>
      </c>
      <c r="G6" s="185" t="n">
        <v>461</v>
      </c>
      <c r="H6" s="185" t="n">
        <v>512</v>
      </c>
      <c r="I6" s="185" t="n">
        <v>555</v>
      </c>
      <c r="J6" s="301" t="n">
        <v>794</v>
      </c>
      <c r="K6" s="302" t="n">
        <v>848</v>
      </c>
      <c r="L6" s="302" t="n">
        <v>1565</v>
      </c>
      <c r="M6" s="303" t="n">
        <v>1609</v>
      </c>
      <c r="N6" s="185" t="n">
        <v>1700</v>
      </c>
      <c r="O6" s="185" t="n">
        <v>1800</v>
      </c>
      <c r="P6" s="185" t="n">
        <v>1860</v>
      </c>
      <c r="Q6" s="185" t="n">
        <v>1900</v>
      </c>
      <c r="R6" s="303" t="n">
        <v>1960</v>
      </c>
      <c r="S6" s="303" t="n">
        <v>2000</v>
      </c>
      <c r="T6" s="303" t="n">
        <v>2050</v>
      </c>
      <c r="U6" s="303" t="n">
        <v>2100</v>
      </c>
      <c r="V6" s="303" t="n">
        <v>2200</v>
      </c>
      <c r="W6" s="301" t="n">
        <v>2280</v>
      </c>
      <c r="X6" s="301" t="n">
        <v>2320</v>
      </c>
      <c r="Y6" s="303" t="n">
        <v>2343</v>
      </c>
      <c r="Z6" s="303" t="n">
        <v>2410</v>
      </c>
      <c r="AA6" s="301" t="n">
        <v>2593</v>
      </c>
      <c r="AB6" s="300" t="n">
        <v>803280</v>
      </c>
      <c r="AC6" s="371" t="n">
        <v>845846</v>
      </c>
      <c r="AD6" t="n">
        <v>146</v>
      </c>
    </row>
    <row r="7" ht="15" customHeight="1" s="186">
      <c r="A7" s="192" t="inlineStr">
        <is>
          <t>Lines of Code</t>
        </is>
      </c>
      <c r="B7" s="192" t="n">
        <v>22541</v>
      </c>
      <c r="C7" s="192" t="n">
        <v>40672</v>
      </c>
      <c r="D7" s="192" t="n">
        <v>58339</v>
      </c>
      <c r="E7" s="192" t="n">
        <v>83232</v>
      </c>
      <c r="F7" s="185" t="n">
        <v>113346</v>
      </c>
      <c r="G7" s="185" t="n">
        <v>130966</v>
      </c>
      <c r="H7" s="185" t="n">
        <v>153011</v>
      </c>
      <c r="I7" s="185" t="n">
        <v>168753</v>
      </c>
      <c r="J7" s="301" t="n">
        <v>208287</v>
      </c>
      <c r="K7" s="302" t="n">
        <v>221000</v>
      </c>
      <c r="L7" s="302" t="n">
        <v>156361</v>
      </c>
      <c r="M7" s="303" t="n">
        <v>170399</v>
      </c>
      <c r="N7" s="185" t="n">
        <v>200000</v>
      </c>
      <c r="O7" s="185" t="n">
        <v>225000</v>
      </c>
      <c r="P7" s="185" t="n">
        <v>235000</v>
      </c>
      <c r="Q7" s="185" t="n">
        <v>248000</v>
      </c>
      <c r="R7" s="303" t="n">
        <v>262000</v>
      </c>
      <c r="S7" s="303" t="n">
        <v>280000</v>
      </c>
      <c r="T7" s="303" t="n">
        <v>298000</v>
      </c>
      <c r="U7" s="303" t="n">
        <v>320000</v>
      </c>
      <c r="V7" s="303" t="n">
        <v>350000</v>
      </c>
      <c r="W7" s="301" t="n">
        <v>371000</v>
      </c>
      <c r="X7" s="301" t="n">
        <v>383000</v>
      </c>
      <c r="Y7" s="303" t="n">
        <v>392000</v>
      </c>
      <c r="Z7" s="303" t="n">
        <v>423000</v>
      </c>
      <c r="AA7" s="301" t="n">
        <v>468604</v>
      </c>
      <c r="AB7" s="300" t="n">
        <v>80</v>
      </c>
      <c r="AC7" s="371" t="n">
        <v>88</v>
      </c>
      <c r="AD7" t="n">
        <v>483</v>
      </c>
    </row>
    <row r="8" ht="15" customHeight="1" s="186">
      <c r="A8" s="195" t="inlineStr">
        <is>
          <t>Dashboard Pages</t>
        </is>
      </c>
      <c r="B8" s="195" t="n">
        <v>10</v>
      </c>
      <c r="C8" s="195" t="n">
        <v>14</v>
      </c>
      <c r="D8" s="195" t="n">
        <v>18</v>
      </c>
      <c r="E8" s="195" t="n">
        <v>24</v>
      </c>
      <c r="F8" s="185" t="n">
        <v>37</v>
      </c>
      <c r="G8" s="185" t="n">
        <v>47</v>
      </c>
      <c r="H8" s="185" t="n">
        <v>50</v>
      </c>
      <c r="I8" s="185" t="n">
        <v>50</v>
      </c>
      <c r="J8" s="301" t="n">
        <v>57</v>
      </c>
      <c r="K8" s="302" t="n">
        <v>64</v>
      </c>
      <c r="L8" s="302" t="n">
        <v>65</v>
      </c>
      <c r="M8" s="303" t="n">
        <v>66</v>
      </c>
      <c r="N8" s="185" t="n">
        <v>66</v>
      </c>
      <c r="O8" s="185" t="n">
        <v>66</v>
      </c>
      <c r="P8" s="185" t="n">
        <v>66</v>
      </c>
      <c r="Q8" s="185" t="n">
        <v>66</v>
      </c>
      <c r="R8" s="303" t="n">
        <v>66</v>
      </c>
      <c r="S8" s="303" t="n">
        <v>66</v>
      </c>
      <c r="T8" s="303" t="n">
        <v>66</v>
      </c>
      <c r="U8" s="303" t="n">
        <v>66</v>
      </c>
      <c r="V8" s="303" t="n">
        <v>66</v>
      </c>
      <c r="W8" s="301" t="n">
        <v>66</v>
      </c>
      <c r="X8" s="301" t="n">
        <v>70</v>
      </c>
      <c r="Y8" s="303" t="n">
        <v>70</v>
      </c>
      <c r="Z8" s="303" t="n">
        <v>74</v>
      </c>
      <c r="AA8" s="301" t="n">
        <v>76</v>
      </c>
      <c r="AB8" s="300" t="n">
        <v>133</v>
      </c>
      <c r="AC8" s="371" t="n">
        <v>138</v>
      </c>
      <c r="AD8" t="n">
        <v>41</v>
      </c>
    </row>
    <row r="9" ht="15" customHeight="1" s="186">
      <c r="A9" s="185" t="inlineStr">
        <is>
          <t>API Routes</t>
        </is>
      </c>
      <c r="B9" s="185" t="n">
        <v>8</v>
      </c>
      <c r="C9" s="185" t="n">
        <v>12</v>
      </c>
      <c r="D9" s="185" t="n">
        <v>18</v>
      </c>
      <c r="E9" s="185" t="n">
        <v>25</v>
      </c>
      <c r="F9" s="185" t="n">
        <v>27</v>
      </c>
      <c r="G9" s="185" t="n">
        <v>39</v>
      </c>
      <c r="H9" s="185" t="n">
        <v>42</v>
      </c>
      <c r="I9" s="185" t="n">
        <v>44</v>
      </c>
      <c r="J9" s="301" t="n">
        <v>51</v>
      </c>
      <c r="K9" s="302" t="n">
        <v>55</v>
      </c>
      <c r="L9" s="302" t="n">
        <v>63</v>
      </c>
      <c r="M9" s="303" t="n">
        <v>67</v>
      </c>
      <c r="N9" s="185" t="n">
        <v>75</v>
      </c>
      <c r="O9" s="185" t="n">
        <v>75</v>
      </c>
      <c r="P9" s="185" t="n">
        <v>70</v>
      </c>
      <c r="Q9" s="185" t="n">
        <v>71</v>
      </c>
      <c r="R9" s="303" t="n">
        <v>73</v>
      </c>
      <c r="S9" s="303" t="n">
        <v>73</v>
      </c>
      <c r="T9" s="303" t="n">
        <v>73</v>
      </c>
      <c r="U9" s="303" t="n">
        <v>73</v>
      </c>
      <c r="V9" s="303" t="n">
        <v>73</v>
      </c>
      <c r="W9" s="301" t="n">
        <v>73</v>
      </c>
      <c r="X9" s="301" t="n">
        <v>74</v>
      </c>
      <c r="Y9" s="303" t="n">
        <v>74</v>
      </c>
      <c r="Z9" s="303" t="n">
        <v>75</v>
      </c>
      <c r="AA9" s="301" t="n">
        <v>83</v>
      </c>
      <c r="AB9" s="300" t="n">
        <v>107</v>
      </c>
      <c r="AC9" s="371" t="n">
        <v>39</v>
      </c>
    </row>
    <row r="10" ht="17.25" customHeight="1" s="186">
      <c r="A10" s="209" t="inlineStr">
        <is>
          <t>Prisma Models</t>
        </is>
      </c>
      <c r="B10" s="185" t="n">
        <v>18</v>
      </c>
      <c r="C10" s="185" t="n">
        <v>22</v>
      </c>
      <c r="D10" s="185" t="n">
        <v>26</v>
      </c>
      <c r="E10" s="185" t="n">
        <v>30</v>
      </c>
      <c r="F10" s="185" t="n">
        <v>32</v>
      </c>
      <c r="G10" s="185" t="n">
        <v>34</v>
      </c>
      <c r="H10" s="185" t="n">
        <v>26</v>
      </c>
      <c r="I10" s="185" t="n">
        <v>25</v>
      </c>
      <c r="J10" s="301" t="n">
        <v>28</v>
      </c>
      <c r="K10" s="302" t="n">
        <v>30</v>
      </c>
      <c r="L10" s="302" t="n">
        <v>30</v>
      </c>
      <c r="M10" s="303" t="n">
        <v>31</v>
      </c>
      <c r="N10" s="185" t="n">
        <v>31</v>
      </c>
      <c r="O10" s="185" t="n">
        <v>31</v>
      </c>
      <c r="P10" s="185" t="n">
        <v>31</v>
      </c>
      <c r="Q10" s="185" t="n">
        <v>31</v>
      </c>
      <c r="R10" s="303" t="n">
        <v>31</v>
      </c>
      <c r="S10" s="303" t="n">
        <v>31</v>
      </c>
      <c r="T10" s="303" t="n">
        <v>31</v>
      </c>
      <c r="U10" s="303" t="n">
        <v>31</v>
      </c>
      <c r="V10" s="303" t="n">
        <v>31</v>
      </c>
      <c r="W10" s="301" t="n">
        <v>31</v>
      </c>
      <c r="X10" s="301" t="n">
        <v>31</v>
      </c>
      <c r="Y10" s="303" t="n">
        <v>31</v>
      </c>
      <c r="Z10" s="303" t="n">
        <v>35</v>
      </c>
      <c r="AA10" s="301" t="n">
        <v>37</v>
      </c>
      <c r="AB10" s="300" t="n">
        <v>65</v>
      </c>
      <c r="AC10" s="371" t="n">
        <v>70</v>
      </c>
    </row>
    <row r="11" ht="15" customHeight="1" s="186">
      <c r="A11" s="185" t="inlineStr">
        <is>
          <t>Core Modules</t>
        </is>
      </c>
      <c r="B11" s="185" t="n">
        <v>4</v>
      </c>
      <c r="C11" s="185" t="n">
        <v>6</v>
      </c>
      <c r="D11" s="185" t="n">
        <v>8</v>
      </c>
      <c r="E11" s="185" t="n">
        <v>12</v>
      </c>
      <c r="F11" s="185" t="n">
        <v>18</v>
      </c>
      <c r="G11" s="185" t="n">
        <v>32</v>
      </c>
      <c r="H11" s="185" t="n">
        <v>38</v>
      </c>
      <c r="I11" s="185" t="n">
        <v>43</v>
      </c>
      <c r="J11" s="301" t="n">
        <v>48</v>
      </c>
      <c r="K11" s="302" t="n">
        <v>51</v>
      </c>
      <c r="L11" s="302" t="n">
        <v>51</v>
      </c>
      <c r="M11" s="303" t="n">
        <v>57</v>
      </c>
      <c r="N11" s="185" t="n">
        <v>62</v>
      </c>
      <c r="O11" s="185" t="n">
        <v>66</v>
      </c>
      <c r="P11" s="185" t="n">
        <v>68</v>
      </c>
      <c r="Q11" s="185" t="n">
        <v>72</v>
      </c>
      <c r="R11" s="303" t="n">
        <v>74</v>
      </c>
      <c r="S11" s="303" t="n">
        <v>74</v>
      </c>
      <c r="T11" s="303" t="n">
        <v>74</v>
      </c>
      <c r="U11" s="303" t="n">
        <v>74</v>
      </c>
      <c r="V11" s="303" t="n">
        <v>74</v>
      </c>
      <c r="W11" s="301" t="n">
        <v>74</v>
      </c>
      <c r="X11" s="301" t="n">
        <v>74</v>
      </c>
      <c r="Y11" s="303" t="n">
        <v>74</v>
      </c>
      <c r="Z11" s="303" t="n">
        <v>80</v>
      </c>
      <c r="AA11" s="301" t="n">
        <v>90</v>
      </c>
      <c r="AB11" s="300" t="n">
        <v>247</v>
      </c>
      <c r="AC11" s="371" t="n">
        <v>266</v>
      </c>
    </row>
    <row r="12" ht="15" customHeight="1" s="186">
      <c r="A12" s="189" t="inlineStr">
        <is>
          <t>Test Files</t>
        </is>
      </c>
      <c r="B12" s="189" t="n">
        <v>0</v>
      </c>
      <c r="C12" s="189" t="n">
        <v>0</v>
      </c>
      <c r="D12" s="189" t="n">
        <v>0</v>
      </c>
      <c r="E12" s="189" t="n">
        <v>0</v>
      </c>
      <c r="F12" s="189" t="n">
        <v>22</v>
      </c>
      <c r="G12" s="185" t="n">
        <v>29</v>
      </c>
      <c r="H12" s="185" t="n">
        <v>37</v>
      </c>
      <c r="I12" s="185" t="n">
        <v>44</v>
      </c>
      <c r="J12" s="301" t="n">
        <v>51</v>
      </c>
      <c r="K12" s="302" t="n">
        <v>57</v>
      </c>
      <c r="L12" s="302" t="n">
        <v>63</v>
      </c>
      <c r="M12" s="303" t="n">
        <v>69</v>
      </c>
      <c r="P12" s="185" t="n">
        <v>73</v>
      </c>
      <c r="Q12" s="185" t="n">
        <v>77</v>
      </c>
      <c r="R12" s="303" t="n">
        <v>85</v>
      </c>
      <c r="S12" s="303" t="n">
        <v>99</v>
      </c>
      <c r="T12" s="303" t="n">
        <v>114</v>
      </c>
      <c r="U12" s="303" t="n">
        <v>139</v>
      </c>
      <c r="V12" s="303" t="n">
        <v>180</v>
      </c>
      <c r="W12" s="301" t="n">
        <v>180</v>
      </c>
      <c r="X12" s="301" t="n">
        <v>190</v>
      </c>
      <c r="Y12" s="303" t="n">
        <v>191</v>
      </c>
      <c r="Z12" s="303" t="n">
        <v>205</v>
      </c>
      <c r="AA12" s="301" t="n">
        <v>127</v>
      </c>
      <c r="AB12" s="300" t="n">
        <v>280</v>
      </c>
      <c r="AC12" s="371" t="n">
        <v>310</v>
      </c>
    </row>
    <row r="13" ht="15" customHeight="1" s="186">
      <c r="A13" s="196" t="inlineStr">
        <is>
          <t>Shopify Pages</t>
        </is>
      </c>
      <c r="B13" s="196" t="n"/>
      <c r="C13" s="196" t="n"/>
      <c r="D13" s="196" t="n"/>
      <c r="E13" s="196" t="n"/>
      <c r="F13" s="196" t="n"/>
      <c r="N13" s="185" t="n">
        <v>12</v>
      </c>
      <c r="O13" s="185" t="n">
        <v>12</v>
      </c>
      <c r="P13" s="185" t="n">
        <v>12</v>
      </c>
      <c r="Q13" s="185" t="n">
        <v>12</v>
      </c>
      <c r="R13" s="303" t="n">
        <v>12</v>
      </c>
      <c r="S13" s="303" t="n">
        <v>12</v>
      </c>
      <c r="T13" s="303" t="n">
        <v>12</v>
      </c>
      <c r="U13" s="303" t="n">
        <v>12</v>
      </c>
      <c r="V13" s="303" t="n">
        <v>12</v>
      </c>
      <c r="W13" s="301" t="n">
        <v>12</v>
      </c>
      <c r="X13" s="301" t="n">
        <v>12</v>
      </c>
      <c r="Y13" s="303" t="n">
        <v>12</v>
      </c>
      <c r="Z13" s="303" t="n">
        <v>12</v>
      </c>
      <c r="AA13" s="301" t="n">
        <v>12</v>
      </c>
      <c r="AB13" s="300" t="n">
        <v>2800</v>
      </c>
      <c r="AC13" s="371" t="n">
        <v>3300</v>
      </c>
    </row>
    <row r="14" ht="15" customHeight="1" s="186">
      <c r="A14" s="304" t="inlineStr">
        <is>
          <t>Test Suites</t>
        </is>
      </c>
      <c r="B14" s="291" t="n"/>
      <c r="C14" s="291" t="n"/>
      <c r="D14" s="291" t="n"/>
      <c r="E14" s="291" t="n"/>
      <c r="F14" s="291" t="n"/>
      <c r="N14" s="185" t="n">
        <v>75</v>
      </c>
      <c r="O14" s="185" t="n">
        <v>85</v>
      </c>
      <c r="P14" s="185" t="n">
        <v>89</v>
      </c>
      <c r="Q14" s="185" t="n">
        <v>93</v>
      </c>
      <c r="R14" s="303" t="n">
        <v>101</v>
      </c>
      <c r="S14" s="303" t="n">
        <v>115</v>
      </c>
      <c r="T14" s="303" t="n">
        <v>130</v>
      </c>
      <c r="U14" s="303" t="n">
        <v>155</v>
      </c>
      <c r="V14" s="303" t="n">
        <v>180</v>
      </c>
      <c r="W14" s="301" t="n">
        <v>180</v>
      </c>
      <c r="X14" s="301" t="n">
        <v>190</v>
      </c>
      <c r="Y14" s="303" t="n">
        <v>191</v>
      </c>
      <c r="Z14" s="303" t="n">
        <v>205</v>
      </c>
      <c r="AA14" s="301" t="n">
        <v>210</v>
      </c>
      <c r="AB14" s="300" t="n">
        <v>73</v>
      </c>
      <c r="AC14" s="371" t="n">
        <v>73</v>
      </c>
    </row>
    <row r="15" ht="15" customHeight="1" s="186">
      <c r="A15" s="196" t="inlineStr">
        <is>
          <t>Test Cases</t>
        </is>
      </c>
      <c r="B15" s="196" t="n"/>
      <c r="C15" s="196" t="n"/>
      <c r="D15" s="196" t="n"/>
      <c r="E15" s="196" t="n"/>
      <c r="F15" s="196" t="n"/>
      <c r="N15" s="185" t="n">
        <v>250</v>
      </c>
      <c r="O15" s="185" t="n">
        <v>280</v>
      </c>
      <c r="P15" s="185" t="n">
        <v>310</v>
      </c>
      <c r="Q15" s="185" t="n">
        <v>434</v>
      </c>
      <c r="R15" s="303" t="n">
        <v>844</v>
      </c>
      <c r="S15" s="303" t="n">
        <v>1763</v>
      </c>
      <c r="T15" s="303" t="n">
        <v>2534</v>
      </c>
      <c r="U15" s="303" t="n">
        <v>3808</v>
      </c>
      <c r="V15" s="303" t="n">
        <v>4676</v>
      </c>
      <c r="W15" s="301" t="n">
        <v>4676</v>
      </c>
      <c r="X15" s="301" t="n">
        <v>4817</v>
      </c>
      <c r="Y15" s="303" t="n">
        <v>4817</v>
      </c>
      <c r="Z15" s="303" t="n">
        <v>4900</v>
      </c>
      <c r="AA15" s="301" t="n">
        <v>2100</v>
      </c>
      <c r="AB15" s="300" t="n">
        <v>55</v>
      </c>
      <c r="AC15" s="371" t="n">
        <v>70</v>
      </c>
    </row>
    <row r="16" ht="15" customHeight="1" s="186">
      <c r="A16" s="291" t="inlineStr">
        <is>
          <t>Workers/Consumers</t>
        </is>
      </c>
      <c r="B16" s="291" t="inlineStr">
        <is>
          <t>Deliverable</t>
        </is>
      </c>
      <c r="C16" s="291" t="inlineStr">
        <is>
          <t>Files</t>
        </is>
      </c>
      <c r="D16" s="291" t="inlineStr">
        <is>
          <t>Lines</t>
        </is>
      </c>
      <c r="E16" s="291" t="inlineStr">
        <is>
          <t>Status</t>
        </is>
      </c>
      <c r="F16" s="291" t="n"/>
      <c r="N16" s="185" t="n">
        <v>8</v>
      </c>
      <c r="O16" s="185" t="n">
        <v>8</v>
      </c>
      <c r="P16" s="185" t="n">
        <v>8</v>
      </c>
      <c r="Q16" s="185" t="n">
        <v>9</v>
      </c>
      <c r="R16" s="303" t="n">
        <v>12</v>
      </c>
      <c r="S16" s="303" t="n">
        <v>12</v>
      </c>
      <c r="T16" s="303" t="n">
        <v>12</v>
      </c>
      <c r="U16" s="303" t="n">
        <v>12</v>
      </c>
      <c r="V16" s="303" t="n">
        <v>12</v>
      </c>
      <c r="Y16" s="185" t="n">
        <v>12</v>
      </c>
      <c r="Z16" s="185" t="n">
        <v>12</v>
      </c>
      <c r="AB16" s="300" t="n">
        <v>3</v>
      </c>
      <c r="AC16" s="371" t="n">
        <v>3</v>
      </c>
    </row>
    <row r="17" ht="15" customHeight="1" s="186">
      <c r="A17" s="195" t="inlineStr">
        <is>
          <t>Real-time Channels</t>
        </is>
      </c>
      <c r="B17" s="195" t="inlineStr">
        <is>
          <t>Route optimization engine (3 algorithms + ETA)</t>
        </is>
      </c>
      <c r="C17" s="195" t="n">
        <v>7</v>
      </c>
      <c r="D17" s="195" t="n">
        <v>1610</v>
      </c>
      <c r="E17" s="305" t="inlineStr">
        <is>
          <t>DONE</t>
        </is>
      </c>
      <c r="F17" s="195" t="n"/>
      <c r="N17" s="185" t="n">
        <v>4</v>
      </c>
      <c r="O17" s="185" t="n">
        <v>4</v>
      </c>
      <c r="P17" s="185" t="n">
        <v>4</v>
      </c>
      <c r="Q17" s="185" t="n">
        <v>4</v>
      </c>
      <c r="R17" s="303" t="n">
        <v>4</v>
      </c>
      <c r="S17" s="303" t="n">
        <v>4</v>
      </c>
      <c r="T17" s="303" t="n">
        <v>4</v>
      </c>
      <c r="U17" s="303" t="n">
        <v>4</v>
      </c>
      <c r="V17" s="303" t="n">
        <v>4</v>
      </c>
      <c r="Y17" s="185" t="n">
        <v>4</v>
      </c>
      <c r="Z17" s="185" t="n">
        <v>4</v>
      </c>
      <c r="AB17" s="300" t="n">
        <v>1</v>
      </c>
      <c r="AC17" s="371" t="n">
        <v>1</v>
      </c>
    </row>
    <row r="18" ht="15" customHeight="1" s="186">
      <c r="A18" s="185" t="inlineStr">
        <is>
          <t>Workflow Definitions</t>
        </is>
      </c>
      <c r="B18" s="185" t="inlineStr">
        <is>
          <t>Shipping profiles detail, route assign, local orders pages</t>
        </is>
      </c>
      <c r="C18" s="185" t="n">
        <v>3</v>
      </c>
      <c r="D18" s="185" t="n">
        <v>1572</v>
      </c>
      <c r="E18" s="306" t="inlineStr">
        <is>
          <t>DONE</t>
        </is>
      </c>
      <c r="N18" s="185" t="n">
        <v>10</v>
      </c>
      <c r="O18" s="185" t="n">
        <v>10</v>
      </c>
      <c r="P18" s="185" t="n">
        <v>10</v>
      </c>
      <c r="Q18" s="185" t="n">
        <v>10</v>
      </c>
      <c r="R18" s="303" t="n">
        <v>10</v>
      </c>
      <c r="S18" s="303" t="n">
        <v>10</v>
      </c>
      <c r="T18" s="303" t="n">
        <v>10</v>
      </c>
      <c r="U18" s="303" t="n">
        <v>10</v>
      </c>
      <c r="V18" s="303" t="n">
        <v>10</v>
      </c>
      <c r="Y18" s="185" t="n">
        <v>10</v>
      </c>
      <c r="Z18" s="185" t="n">
        <v>10</v>
      </c>
      <c r="AB18" s="300" t="n">
        <v>1</v>
      </c>
      <c r="AC18" s="371" t="n">
        <v>1</v>
      </c>
    </row>
    <row r="19" ht="17.25" customHeight="1" s="186">
      <c r="A19" s="209" t="inlineStr">
        <is>
          <t>Queue Types</t>
        </is>
      </c>
      <c r="B19" s="185" t="inlineStr">
        <is>
          <t>Cart plugin components (date picker, time slots, rates)</t>
        </is>
      </c>
      <c r="C19" s="185" t="n">
        <v>5</v>
      </c>
      <c r="D19" s="185" t="n">
        <v>1817</v>
      </c>
      <c r="E19" s="306" t="inlineStr">
        <is>
          <t>DONE</t>
        </is>
      </c>
      <c r="N19" s="185" t="n">
        <v>8</v>
      </c>
      <c r="O19" s="185" t="n">
        <v>8</v>
      </c>
      <c r="P19" s="185" t="n">
        <v>8</v>
      </c>
      <c r="Q19" s="185" t="n">
        <v>8</v>
      </c>
      <c r="R19" s="303" t="n">
        <v>8</v>
      </c>
      <c r="S19" s="303" t="n">
        <v>8</v>
      </c>
      <c r="T19" s="303" t="n">
        <v>8</v>
      </c>
      <c r="U19" s="303" t="n">
        <v>8</v>
      </c>
      <c r="V19" s="303" t="n">
        <v>8</v>
      </c>
      <c r="Y19" s="185" t="n">
        <v>8</v>
      </c>
      <c r="Z19" s="185" t="n">
        <v>8</v>
      </c>
      <c r="AB19" s="300" t="n">
        <v>1</v>
      </c>
      <c r="AC19" s="371" t="n">
        <v>1</v>
      </c>
    </row>
    <row r="20" ht="26.25" customHeight="1" s="186">
      <c r="A20" s="189" t="inlineStr">
        <is>
          <t>RG - Rohan</t>
        </is>
      </c>
      <c r="B20" s="189" t="inlineStr">
        <is>
          <t>Queue consumers (4 types) + spatial queries module</t>
        </is>
      </c>
      <c r="C20" s="189" t="n">
        <v>10</v>
      </c>
      <c r="D20" s="189" t="n">
        <v>3813</v>
      </c>
      <c r="E20" s="307" t="inlineStr">
        <is>
          <t>DONE</t>
        </is>
      </c>
      <c r="F20" s="189" t="n"/>
      <c r="AB20" s="300" t="n">
        <v>1</v>
      </c>
      <c r="AC20" s="371" t="n">
        <v>1</v>
      </c>
    </row>
    <row r="21" ht="15" customHeight="1" s="186">
      <c r="A21" s="308" t="inlineStr">
        <is>
          <t>SP - Sanya</t>
        </is>
      </c>
      <c r="B21" s="193" t="inlineStr">
        <is>
          <t>Payment processing (gateway + processor + Prisma)</t>
        </is>
      </c>
      <c r="C21" s="193" t="n">
        <v>6</v>
      </c>
      <c r="D21" s="309" t="n">
        <v>2689</v>
      </c>
      <c r="E21" s="246" t="inlineStr">
        <is>
          <t>DONE</t>
        </is>
      </c>
      <c r="F21" s="308" t="n"/>
      <c r="AB21" s="300" t="n">
        <v>1</v>
      </c>
      <c r="AC21" s="371" t="n">
        <v>1</v>
      </c>
    </row>
    <row r="22" ht="15" customHeight="1" s="186">
      <c r="A22" s="258" t="inlineStr">
        <is>
          <t>VS - Vikram</t>
        </is>
      </c>
      <c r="B22" s="197" t="inlineStr">
        <is>
          <t>Shipping profiles core (rate calc, calendar, validator)</t>
        </is>
      </c>
      <c r="C22" s="197" t="n">
        <v>6</v>
      </c>
      <c r="D22" s="310" t="n">
        <v>3068</v>
      </c>
      <c r="E22" s="246" t="inlineStr">
        <is>
          <t>DONE</t>
        </is>
      </c>
      <c r="F22" s="237" t="n"/>
      <c r="AB22" s="300" t="n">
        <v>15</v>
      </c>
      <c r="AC22" s="371" t="n">
        <v>15</v>
      </c>
    </row>
    <row r="23" ht="15" customHeight="1" s="186">
      <c r="A23" s="245" t="inlineStr">
        <is>
          <t>PK - Priya</t>
        </is>
      </c>
      <c r="B23" s="193" t="inlineStr">
        <is>
          <t>Analytics engine (event tracker, aggregator, dashboard)</t>
        </is>
      </c>
      <c r="C23" s="193" t="n">
        <v>6</v>
      </c>
      <c r="D23" s="309" t="n">
        <v>2275</v>
      </c>
      <c r="E23" s="246" t="inlineStr">
        <is>
          <t>DONE</t>
        </is>
      </c>
      <c r="F23" s="308" t="n"/>
      <c r="AB23" s="300" t="n">
        <v>1</v>
      </c>
      <c r="AC23" s="371" t="n">
        <v>1</v>
      </c>
    </row>
    <row r="24" ht="15" customHeight="1" s="186">
      <c r="A24" s="259" t="inlineStr">
        <is>
          <t>KS - Kavitha</t>
        </is>
      </c>
      <c r="B24" s="197" t="inlineStr">
        <is>
          <t>8 test suites (optimizer, payments, analytics, queue, etc.)</t>
        </is>
      </c>
      <c r="C24" s="197" t="n">
        <v>8</v>
      </c>
      <c r="D24" s="310" t="n">
        <v>5184</v>
      </c>
      <c r="E24" s="246" t="inlineStr">
        <is>
          <t>DONE</t>
        </is>
      </c>
      <c r="F24" s="237" t="n"/>
      <c r="AB24" s="300" t="n">
        <v>25</v>
      </c>
      <c r="AC24" s="371" t="n">
        <v>26</v>
      </c>
    </row>
    <row r="25" ht="15" customHeight="1" s="186">
      <c r="A25" s="264" t="inlineStr">
        <is>
          <t>AM - Aisha</t>
        </is>
      </c>
      <c r="B25" s="193" t="inlineStr">
        <is>
          <t>Migration framework + location management API</t>
        </is>
      </c>
      <c r="C25" s="193" t="n">
        <v>5</v>
      </c>
      <c r="D25" s="309" t="n">
        <v>1914</v>
      </c>
      <c r="E25" s="246" t="inlineStr">
        <is>
          <t>DONE</t>
        </is>
      </c>
      <c r="F25" s="308" t="n"/>
      <c r="AB25" s="300" t="n">
        <v>14</v>
      </c>
      <c r="AC25" s="371" t="n">
        <v>14</v>
      </c>
    </row>
    <row r="26" ht="15" customHeight="1" s="186">
      <c r="A26" s="253" t="n"/>
      <c r="B26" s="197" t="n"/>
      <c r="C26" s="197" t="n"/>
      <c r="D26" s="310" t="n"/>
      <c r="E26" s="311" t="n"/>
      <c r="F26" s="237" t="n"/>
      <c r="AB26" s="300" t="n">
        <v>11</v>
      </c>
      <c r="AC26" s="371" t="n">
        <v>13</v>
      </c>
    </row>
    <row r="27" ht="15" customHeight="1" s="186">
      <c r="A27" s="312" t="inlineStr">
        <is>
          <t>SPRINT 2.6 DELIVERABLES</t>
        </is>
      </c>
      <c r="B27" s="193" t="n"/>
      <c r="C27" s="193" t="n"/>
      <c r="D27" s="309" t="n"/>
      <c r="E27" s="313" t="n"/>
      <c r="F27" s="308" t="n"/>
    </row>
    <row r="28" ht="15" customHeight="1" s="186">
      <c r="A28" s="314" t="n"/>
      <c r="B28" s="315" t="n"/>
      <c r="C28" s="315" t="n"/>
      <c r="D28" s="315" t="n"/>
      <c r="E28" s="315" t="n"/>
      <c r="F28" s="315" t="n"/>
    </row>
    <row r="29" ht="15" customHeight="1" s="186">
      <c r="A29" s="316" t="n"/>
      <c r="B29" s="316" t="n"/>
      <c r="C29" s="316" t="n"/>
      <c r="D29" s="316" t="n"/>
      <c r="E29" s="316" t="n"/>
      <c r="F29" s="308" t="n"/>
    </row>
    <row r="30" ht="15" customHeight="1" s="186">
      <c r="A30" s="292" t="n"/>
      <c r="B30" s="292" t="n"/>
      <c r="C30" s="292" t="n"/>
      <c r="D30" s="292" t="n"/>
      <c r="E30" s="292" t="n"/>
      <c r="F30" s="317" t="n"/>
    </row>
    <row r="31" ht="15" customHeight="1" s="186">
      <c r="F31" s="318" t="n"/>
    </row>
    <row r="32" ht="15" customHeight="1" s="186">
      <c r="F32" s="318" t="n"/>
    </row>
    <row r="33" ht="15" customHeight="1" s="186">
      <c r="F33" s="318" t="n"/>
    </row>
    <row r="34" ht="15" customHeight="1" s="186">
      <c r="F34" s="318" t="n"/>
    </row>
    <row r="36" ht="15" customHeight="1" s="186">
      <c r="A36" s="185" t="inlineStr">
        <is>
          <t>PK - Priya</t>
        </is>
      </c>
      <c r="B36" s="185" t="inlineStr">
        <is>
          <t>Campaign, messaging, audit, permissions API routes</t>
        </is>
      </c>
      <c r="C36" s="185" t="n">
        <v>4</v>
      </c>
      <c r="D36" s="185" t="n">
        <v>2469</v>
      </c>
      <c r="E36" s="185" t="inlineStr">
        <is>
          <t>DONE</t>
        </is>
      </c>
    </row>
    <row r="37" ht="15" customHeight="1" s="186">
      <c r="A37" s="185" t="inlineStr">
        <is>
          <t>KS - Kavitha</t>
        </is>
      </c>
      <c r="B37" s="185" t="inlineStr">
        <is>
          <t>7 test suites (RBAC, audit, dispatcher, crypto, etc.)</t>
        </is>
      </c>
      <c r="C37" s="185" t="n">
        <v>7</v>
      </c>
      <c r="D37" s="185" t="n">
        <v>4725</v>
      </c>
      <c r="E37" s="185" t="inlineStr">
        <is>
          <t>DONE</t>
        </is>
      </c>
    </row>
    <row r="38" ht="15" customHeight="1" s="186">
      <c r="A38" s="185" t="inlineStr">
        <is>
          <t>AM - Aisha</t>
        </is>
      </c>
      <c r="B38" s="185" t="inlineStr">
        <is>
          <t>Shopify campaigns, templates, audit log routes</t>
        </is>
      </c>
      <c r="C38" s="185" t="n">
        <v>5</v>
      </c>
      <c r="D38" s="185" t="n">
        <v>1628</v>
      </c>
      <c r="E38" s="185" t="inlineStr">
        <is>
          <t>DONE</t>
        </is>
      </c>
    </row>
    <row r="40" ht="15.75" customHeight="1" s="186">
      <c r="A40" s="319" t="inlineStr">
        <is>
          <t>SPRINT 2.7 DELIVERABLES</t>
        </is>
      </c>
    </row>
    <row r="41" ht="15" customHeight="1" s="186">
      <c r="A41" s="292" t="n"/>
    </row>
    <row r="42" ht="15" customHeight="1" s="186">
      <c r="A42" s="320" t="n"/>
      <c r="B42" s="320" t="n"/>
      <c r="C42" s="320" t="n"/>
      <c r="D42" s="320" t="n"/>
      <c r="E42" s="320" t="n"/>
      <c r="F42" s="321" t="n"/>
    </row>
    <row r="43" ht="15" customHeight="1" s="186">
      <c r="E43" s="322" t="n"/>
      <c r="F43" s="318" t="n"/>
    </row>
    <row r="44" ht="15" customHeight="1" s="186">
      <c r="E44" s="322" t="n"/>
      <c r="F44" s="318" t="n"/>
    </row>
    <row r="45" ht="15" customHeight="1" s="186">
      <c r="E45" s="322" t="n"/>
      <c r="F45" s="318" t="n"/>
    </row>
    <row r="46" ht="15" customHeight="1" s="186">
      <c r="E46" s="322" t="n"/>
      <c r="F46" s="318" t="n"/>
    </row>
    <row r="47" ht="15" customHeight="1" s="186">
      <c r="E47" s="322" t="n"/>
      <c r="F47" s="318" t="n"/>
    </row>
    <row r="48" ht="15" customHeight="1" s="186">
      <c r="A48" s="185" t="inlineStr">
        <is>
          <t>VS - Vikram</t>
        </is>
      </c>
      <c r="B48" s="185" t="inlineStr">
        <is>
          <t>Saved views engine + widget manager core modules</t>
        </is>
      </c>
      <c r="C48" s="185" t="n">
        <v>6</v>
      </c>
      <c r="D48" s="185" t="n">
        <v>1566</v>
      </c>
      <c r="E48" s="322" t="inlineStr">
        <is>
          <t>DONE</t>
        </is>
      </c>
    </row>
    <row r="49" ht="15" customHeight="1" s="186">
      <c r="A49" s="185" t="inlineStr">
        <is>
          <t>PK - Priya</t>
        </is>
      </c>
      <c r="B49" s="185" t="inlineStr">
        <is>
          <t>6 API routes (billing, support, features, views, widgets, collections)</t>
        </is>
      </c>
      <c r="C49" s="185" t="n">
        <v>7</v>
      </c>
      <c r="D49" s="185" t="n">
        <v>2708</v>
      </c>
      <c r="E49" s="322" t="inlineStr">
        <is>
          <t>DONE</t>
        </is>
      </c>
    </row>
    <row r="50" ht="15" customHeight="1" s="186">
      <c r="A50" s="185" t="inlineStr">
        <is>
          <t>KS - Kavitha</t>
        </is>
      </c>
      <c r="B50" s="185" t="inlineStr">
        <is>
          <t>7 test suites (subscription, quota, collections, support, views, widgets, process)</t>
        </is>
      </c>
      <c r="C50" s="185" t="n">
        <v>7</v>
      </c>
      <c r="D50" s="185" t="n">
        <v>3930</v>
      </c>
      <c r="E50" s="322" t="inlineStr">
        <is>
          <t>DONE</t>
        </is>
      </c>
    </row>
    <row r="51" ht="15" customHeight="1" s="186">
      <c r="A51" s="185" t="inlineStr">
        <is>
          <t>AM - Aisha</t>
        </is>
      </c>
      <c r="B51" s="185" t="inlineStr">
        <is>
          <t>5 Shopify routes (billing, invoices, support, support detail, collections)</t>
        </is>
      </c>
      <c r="C51" s="185" t="n">
        <v>5</v>
      </c>
      <c r="D51" s="185" t="n">
        <v>2233</v>
      </c>
      <c r="E51" s="322" t="inlineStr">
        <is>
          <t>DONE</t>
        </is>
      </c>
    </row>
    <row r="53" ht="15" customHeight="1" s="186">
      <c r="A53" s="267" t="inlineStr">
        <is>
          <t>SPRINT 2.8 DELIVERABLES</t>
        </is>
      </c>
      <c r="B53" s="268" t="n"/>
      <c r="C53" s="268" t="n"/>
      <c r="D53" s="268" t="n"/>
    </row>
    <row r="54" ht="15.75" customHeight="1" s="186">
      <c r="A54" s="319" t="n"/>
    </row>
    <row r="55" ht="15" customHeight="1" s="186">
      <c r="A55" s="323" t="n"/>
      <c r="B55" s="323" t="n"/>
      <c r="C55" s="323" t="n"/>
      <c r="D55" s="323" t="n"/>
      <c r="E55" s="320" t="inlineStr">
        <is>
          <t>Remaining</t>
        </is>
      </c>
      <c r="F55" s="320" t="inlineStr">
        <is>
          <t>% Complete</t>
        </is>
      </c>
    </row>
    <row r="56" ht="15" customHeight="1" s="186">
      <c r="A56" s="269" t="n"/>
      <c r="B56" s="269" t="n"/>
      <c r="C56" s="324" t="n"/>
      <c r="D56" s="302" t="n"/>
      <c r="E56" s="185">
        <f>B56-C56-D56</f>
        <v/>
      </c>
      <c r="F56" s="325">
        <f>C56/B56</f>
        <v/>
      </c>
    </row>
    <row r="57" ht="15" customHeight="1" s="186">
      <c r="A57" s="269" t="n"/>
      <c r="B57" s="269" t="n"/>
      <c r="C57" s="324" t="n"/>
      <c r="D57" s="302" t="n"/>
      <c r="E57" s="185">
        <f>B57-C57-D57</f>
        <v/>
      </c>
      <c r="F57" s="325">
        <f>C57/B57</f>
        <v/>
      </c>
    </row>
    <row r="58" ht="15" customHeight="1" s="186">
      <c r="A58" s="269" t="n"/>
      <c r="B58" s="269" t="n"/>
      <c r="C58" s="324" t="n"/>
      <c r="D58" s="302" t="n"/>
      <c r="E58" s="185">
        <f>B58-C58-D58</f>
        <v/>
      </c>
      <c r="F58" s="325">
        <f>C58/B58</f>
        <v/>
      </c>
    </row>
    <row r="59" ht="15" customHeight="1" s="186">
      <c r="A59" s="269" t="n"/>
      <c r="B59" s="269" t="n"/>
      <c r="C59" s="324" t="n"/>
      <c r="D59" s="302" t="n"/>
      <c r="E59" s="185">
        <f>B59-C59-D59</f>
        <v/>
      </c>
      <c r="F59" s="325">
        <f>C59/B59</f>
        <v/>
      </c>
    </row>
    <row r="60" ht="15" customHeight="1" s="186">
      <c r="A60" s="269" t="n"/>
      <c r="B60" s="269" t="n"/>
      <c r="C60" s="324" t="n"/>
      <c r="D60" s="302" t="n"/>
      <c r="E60" s="185">
        <f>B60-C60-D60</f>
        <v/>
      </c>
      <c r="F60" s="325">
        <f>C60/B60</f>
        <v/>
      </c>
    </row>
    <row r="61" ht="15" customHeight="1" s="186">
      <c r="A61" s="269" t="inlineStr">
        <is>
          <t>VS - Vikram</t>
        </is>
      </c>
      <c r="B61" s="269" t="inlineStr">
        <is>
          <t>Standard delivery workflow pages</t>
        </is>
      </c>
      <c r="C61" s="324" t="n">
        <v>2</v>
      </c>
      <c r="D61" s="302" t="n">
        <v>600</v>
      </c>
    </row>
    <row r="62" ht="15" customHeight="1" s="186">
      <c r="A62" s="269" t="inlineStr">
        <is>
          <t>PK - Priya</t>
        </is>
      </c>
      <c r="B62" s="269" t="inlineStr">
        <is>
          <t>Docker production stack (multi-stage, compose, nginx)</t>
        </is>
      </c>
      <c r="C62" s="324" t="n">
        <v>5</v>
      </c>
      <c r="D62" s="302" t="n">
        <v>800</v>
      </c>
    </row>
    <row r="63" ht="15" customHeight="1" s="186">
      <c r="A63" s="269" t="inlineStr">
        <is>
          <t>KS - Kavitha</t>
        </is>
      </c>
      <c r="B63" s="269" t="inlineStr">
        <is>
          <t>6 test suites (auth, POS, errors, rate limit, validator, admin)</t>
        </is>
      </c>
      <c r="C63" s="324" t="n">
        <v>6</v>
      </c>
      <c r="D63" s="302" t="n">
        <v>1800</v>
      </c>
    </row>
    <row r="64" ht="15" customHeight="1" s="186">
      <c r="A64" s="269" t="inlineStr">
        <is>
          <t>AM - Aisha</t>
        </is>
      </c>
      <c r="B64" s="269" t="inlineStr">
        <is>
          <t>3 Shopify routes (auth-providers, POS index, POS detail)</t>
        </is>
      </c>
      <c r="C64" s="324" t="n">
        <v>3</v>
      </c>
      <c r="D64" s="302" t="n">
        <v>900</v>
      </c>
    </row>
    <row r="66" ht="15" customHeight="1" s="186">
      <c r="A66" s="267" t="inlineStr">
        <is>
          <t>SPRINT 2.9 DELIVERABLES</t>
        </is>
      </c>
      <c r="B66" s="268" t="n"/>
      <c r="C66" s="268" t="n"/>
      <c r="D66" s="268" t="n"/>
    </row>
    <row r="68" ht="15" customHeight="1" s="186">
      <c r="A68" s="326" t="inlineStr">
        <is>
          <t>Agent</t>
        </is>
      </c>
      <c r="B68" s="326" t="inlineStr">
        <is>
          <t>Deliverable</t>
        </is>
      </c>
      <c r="C68" s="326" t="inlineStr">
        <is>
          <t>Files</t>
        </is>
      </c>
      <c r="D68" s="326" t="inlineStr">
        <is>
          <t>Lines</t>
        </is>
      </c>
    </row>
    <row r="69" ht="15" customHeight="1" s="186">
      <c r="A69" s="269" t="inlineStr">
        <is>
          <t>AR - Arjun</t>
        </is>
      </c>
      <c r="B69" s="269" t="inlineStr">
        <is>
          <t>Workflow engine (DI container, step runner, compensation, registry, hooks)</t>
        </is>
      </c>
      <c r="C69" s="324" t="n">
        <v>10</v>
      </c>
      <c r="D69" s="302" t="n">
        <v>3100</v>
      </c>
    </row>
    <row r="70" ht="15" customHeight="1" s="186">
      <c r="A70" s="269" t="inlineStr">
        <is>
          <t>DM - Dev</t>
        </is>
      </c>
      <c r="B70" s="269" t="inlineStr">
        <is>
          <t>Workflow executions list page (StatCards, filters, search, table)</t>
        </is>
      </c>
      <c r="C70" s="324" t="n">
        <v>1</v>
      </c>
      <c r="D70" s="302" t="n">
        <v>462</v>
      </c>
    </row>
    <row r="71" ht="15" customHeight="1" s="186">
      <c r="A71" s="269" t="inlineStr">
        <is>
          <t>NK - Neha</t>
        </is>
      </c>
      <c r="B71" s="269" t="inlineStr">
        <is>
          <t>Workflow execution detail page (step timeline, JSON viewer, retry)</t>
        </is>
      </c>
      <c r="C71" s="324" t="n">
        <v>1</v>
      </c>
      <c r="D71" s="302" t="n">
        <v>701</v>
      </c>
    </row>
    <row r="72" ht="15" customHeight="1" s="186">
      <c r="A72" s="269" t="inlineStr">
        <is>
          <t>RG - Rohan</t>
        </is>
      </c>
      <c r="B72" s="269" t="inlineStr">
        <is>
          <t>3 workflow definitions (createDeliveryOrder, assignDriver, completeDelivery)</t>
        </is>
      </c>
      <c r="C72" s="324" t="n">
        <v>6</v>
      </c>
      <c r="D72" s="302" t="n">
        <v>4300</v>
      </c>
    </row>
    <row r="73" ht="15" customHeight="1" s="186">
      <c r="A73" s="269" t="inlineStr">
        <is>
          <t>SP - Sanya</t>
        </is>
      </c>
      <c r="B73" s="269" t="inlineStr">
        <is>
          <t>12 reusable workflow steps (validation, geocoding, rating, assignment, etc.)</t>
        </is>
      </c>
      <c r="C73" s="324" t="n">
        <v>9</v>
      </c>
      <c r="D73" s="302" t="n">
        <v>2439</v>
      </c>
    </row>
    <row r="74" ht="15" customHeight="1" s="186">
      <c r="A74" s="269" t="inlineStr">
        <is>
          <t>VS - Vikram</t>
        </is>
      </c>
      <c r="B74" s="269" t="inlineStr">
        <is>
          <t>BullMQ durable execution (queue, worker, scheduler, DLQ)</t>
        </is>
      </c>
      <c r="C74" s="324" t="n">
        <v>6</v>
      </c>
      <c r="D74" s="302" t="n">
        <v>1397</v>
      </c>
    </row>
    <row r="75" ht="15" customHeight="1" s="186">
      <c r="A75" s="269" t="inlineStr">
        <is>
          <t>PK - Priya</t>
        </is>
      </c>
      <c r="B75" s="269" t="inlineStr">
        <is>
          <t>4 workflow API route files (orders, drivers, delivery, executions)</t>
        </is>
      </c>
      <c r="C75" s="324" t="n">
        <v>4</v>
      </c>
      <c r="D75" s="302" t="n">
        <v>1660</v>
      </c>
    </row>
    <row r="76" ht="15" customHeight="1" s="186">
      <c r="A76" s="269" t="inlineStr">
        <is>
          <t>KS - Kavitha</t>
        </is>
      </c>
      <c r="B76" s="269" t="inlineStr">
        <is>
          <t>6 test suites (engine, container, step-runner, 3 workflow tests)</t>
        </is>
      </c>
      <c r="C76" s="324" t="n">
        <v>6</v>
      </c>
      <c r="D76" s="302" t="n">
        <v>3194</v>
      </c>
    </row>
    <row r="77" ht="15" customHeight="1" s="186">
      <c r="A77" s="269" t="inlineStr">
        <is>
          <t>AM - Aisha</t>
        </is>
      </c>
      <c r="B77" s="269" t="inlineStr">
        <is>
          <t>ADR-009 + Architecture debate (blue/red team standup)</t>
        </is>
      </c>
      <c r="C77" s="324" t="n">
        <v>2</v>
      </c>
      <c r="D77" s="302" t="n">
        <v>800</v>
      </c>
    </row>
    <row r="79" ht="15" customHeight="1" s="186">
      <c r="A79" s="267" t="inlineStr">
        <is>
          <t>COMPLETION SUMMARY</t>
        </is>
      </c>
      <c r="B79" s="268" t="n"/>
      <c r="C79" s="268" t="n"/>
      <c r="D79" s="268" t="n"/>
    </row>
    <row r="80" ht="15" customHeight="1" s="186">
      <c r="A80" s="326" t="inlineStr">
        <is>
          <t>Category</t>
        </is>
      </c>
      <c r="B80" s="326" t="inlineStr">
        <is>
          <t>Total Items</t>
        </is>
      </c>
      <c r="C80" s="326" t="n">
        <v>31</v>
      </c>
      <c r="D80" s="326" t="inlineStr">
        <is>
          <t>72.1%</t>
        </is>
      </c>
    </row>
    <row r="81" ht="15" customHeight="1" s="186">
      <c r="A81" s="269" t="inlineStr">
        <is>
          <t>Data Models</t>
        </is>
      </c>
      <c r="B81" s="324" t="n">
        <v>43</v>
      </c>
      <c r="C81" s="324" t="n">
        <v>66</v>
      </c>
      <c r="D81" s="324" t="inlineStr">
        <is>
          <t>169.2%</t>
        </is>
      </c>
    </row>
    <row r="82" ht="15" customHeight="1" s="186">
      <c r="A82" s="269" t="inlineStr">
        <is>
          <t>Feature Pages</t>
        </is>
      </c>
      <c r="B82" s="324" t="n">
        <v>39</v>
      </c>
      <c r="C82" s="324" t="n">
        <v>67</v>
      </c>
      <c r="D82" s="324" t="inlineStr">
        <is>
          <t>167.5%</t>
        </is>
      </c>
    </row>
    <row r="83" ht="15" customHeight="1" s="186">
      <c r="A83" s="269" t="inlineStr">
        <is>
          <t>API Services</t>
        </is>
      </c>
      <c r="B83" s="324" t="n">
        <v>40</v>
      </c>
      <c r="C83" s="324" t="n">
        <v>63</v>
      </c>
      <c r="D83" s="324" t="inlineStr">
        <is>
          <t>157.5%</t>
        </is>
      </c>
    </row>
    <row r="84" ht="15" customHeight="1" s="186">
      <c r="A84" s="269" t="inlineStr">
        <is>
          <t>Infrastructure</t>
        </is>
      </c>
      <c r="B84" s="324" t="n">
        <v>24</v>
      </c>
      <c r="C84" s="324" t="n">
        <v>38</v>
      </c>
      <c r="D84" s="324" t="inlineStr">
        <is>
          <t>90.5%</t>
        </is>
      </c>
    </row>
    <row r="85" ht="15" customHeight="1" s="186">
      <c r="A85" s="269" t="inlineStr">
        <is>
          <t>Roadmap Items</t>
        </is>
      </c>
      <c r="B85" s="324" t="n">
        <v>42</v>
      </c>
      <c r="C85" s="324" t="n">
        <v>35</v>
      </c>
      <c r="D85" s="324" t="inlineStr">
        <is>
          <t>83.3%</t>
        </is>
      </c>
    </row>
    <row r="87" ht="15" customHeight="1" s="186">
      <c r="A87" s="267" t="inlineStr">
        <is>
          <t>SPRINT 3.0 PLANNED</t>
        </is>
      </c>
      <c r="B87" s="268" t="n"/>
      <c r="C87" s="268" t="n"/>
      <c r="D87" s="268" t="n"/>
    </row>
    <row r="89" ht="15" customHeight="1" s="186">
      <c r="A89" s="326" t="inlineStr">
        <is>
          <t>Agent</t>
        </is>
      </c>
      <c r="B89" s="326" t="inlineStr">
        <is>
          <t>Deliverable</t>
        </is>
      </c>
      <c r="C89" s="326" t="inlineStr">
        <is>
          <t>Focus</t>
        </is>
      </c>
      <c r="D89" s="326" t="inlineStr">
        <is>
          <t>Category</t>
        </is>
      </c>
    </row>
    <row r="90" ht="15" customHeight="1" s="186">
      <c r="A90" s="269" t="inlineStr">
        <is>
          <t>AR - Arjun</t>
        </is>
      </c>
      <c r="B90" s="269" t="inlineStr">
        <is>
          <t>Event bus + ADR-010 event architecture</t>
        </is>
      </c>
      <c r="C90" s="324" t="inlineStr">
        <is>
          <t>Backend</t>
        </is>
      </c>
      <c r="D90" s="324" t="inlineStr">
        <is>
          <t>Architecture</t>
        </is>
      </c>
    </row>
    <row r="91" ht="15" customHeight="1" s="186">
      <c r="A91" s="269" t="inlineStr">
        <is>
          <t>DM - Dev</t>
        </is>
      </c>
      <c r="B91" s="269" t="inlineStr">
        <is>
          <t>shadcn/ui migration Phase 1 (Button, Card, Badge, Input, Select, Modal)</t>
        </is>
      </c>
      <c r="C91" s="324" t="inlineStr">
        <is>
          <t>Frontend</t>
        </is>
      </c>
      <c r="D91" s="324" t="inlineStr">
        <is>
          <t>Design System</t>
        </is>
      </c>
    </row>
    <row r="92" ht="15" customHeight="1" s="186">
      <c r="A92" s="269" t="inlineStr">
        <is>
          <t>NK - Neha</t>
        </is>
      </c>
      <c r="B92" s="269" t="inlineStr">
        <is>
          <t>shadcn/ui migration Phase 2 (Table, Tabs, Toast, StatCard, EmptyState)</t>
        </is>
      </c>
      <c r="C92" s="324" t="inlineStr">
        <is>
          <t>Frontend</t>
        </is>
      </c>
      <c r="D92" s="324" t="inlineStr">
        <is>
          <t>Design System</t>
        </is>
      </c>
    </row>
    <row r="93" ht="15" customHeight="1" s="186">
      <c r="A93" s="269" t="inlineStr">
        <is>
          <t>RG - Rohan</t>
        </is>
      </c>
      <c r="B93" s="269" t="inlineStr">
        <is>
          <t>Workflow-API integration (wire workflows into existing endpoints)</t>
        </is>
      </c>
      <c r="C93" s="324" t="inlineStr">
        <is>
          <t>Backend</t>
        </is>
      </c>
      <c r="D93" s="324" t="inlineStr">
        <is>
          <t>Integration</t>
        </is>
      </c>
    </row>
    <row r="94" ht="15" customHeight="1" s="186">
      <c r="A94" s="269" t="inlineStr">
        <is>
          <t>SP - Sanya</t>
        </is>
      </c>
      <c r="B94" s="269" t="inlineStr">
        <is>
          <t>Webhook system (registration, signing, retry, delivery tracking)</t>
        </is>
      </c>
      <c r="C94" s="324" t="inlineStr">
        <is>
          <t>Full-stack</t>
        </is>
      </c>
      <c r="D94" s="324" t="inlineStr">
        <is>
          <t>Events</t>
        </is>
      </c>
    </row>
    <row r="95" ht="15" customHeight="1" s="186">
      <c r="A95" s="269" t="inlineStr">
        <is>
          <t>VS - Vikram</t>
        </is>
      </c>
      <c r="B95" s="269" t="inlineStr">
        <is>
          <t>Tailwind CSS 4 + design tokens bridge (--wl-* → Tailwind)</t>
        </is>
      </c>
      <c r="C95" s="324" t="inlineStr">
        <is>
          <t>Frontend</t>
        </is>
      </c>
      <c r="D95" s="324" t="inlineStr">
        <is>
          <t>Design System</t>
        </is>
      </c>
    </row>
    <row r="96" ht="15" customHeight="1" s="186">
      <c r="A96" s="269" t="inlineStr">
        <is>
          <t>PK - Priya</t>
        </is>
      </c>
      <c r="B96" s="269" t="inlineStr">
        <is>
          <t>Socket.io workflow events + real-time step progression</t>
        </is>
      </c>
      <c r="C96" s="324" t="inlineStr">
        <is>
          <t>Backend</t>
        </is>
      </c>
      <c r="D96" s="324" t="inlineStr">
        <is>
          <t>Events</t>
        </is>
      </c>
    </row>
    <row r="97" ht="15" customHeight="1" s="186">
      <c r="A97" s="269" t="inlineStr">
        <is>
          <t>KS - Kavitha</t>
        </is>
      </c>
      <c r="B97" s="269" t="inlineStr">
        <is>
          <t>Integration tests + component visual regression tests</t>
        </is>
      </c>
      <c r="C97" s="324" t="inlineStr">
        <is>
          <t>QA</t>
        </is>
      </c>
      <c r="D97" s="324" t="inlineStr">
        <is>
          <t>Testing</t>
        </is>
      </c>
    </row>
    <row r="98" ht="15" customHeight="1" s="186">
      <c r="A98" s="269" t="inlineStr">
        <is>
          <t>AM - Aisha</t>
        </is>
      </c>
      <c r="B98" s="269" t="inlineStr">
        <is>
          <t>Shopify workflow triggers + webhook management UI</t>
        </is>
      </c>
      <c r="C98" s="324" t="inlineStr">
        <is>
          <t>Integration</t>
        </is>
      </c>
      <c r="D98" s="324" t="inlineStr">
        <is>
          <t>Shopify</t>
        </is>
      </c>
    </row>
    <row r="100" ht="15" customHeight="1" s="186">
      <c r="A100" s="327" t="inlineStr">
        <is>
          <t>SPRINT 3.0 DELIVERABLES</t>
        </is>
      </c>
    </row>
    <row r="102" ht="15" customHeight="1" s="186">
      <c r="A102" s="296" t="inlineStr">
        <is>
          <t>Agent</t>
        </is>
      </c>
      <c r="B102" s="296" t="inlineStr">
        <is>
          <t>Deliverable</t>
        </is>
      </c>
      <c r="C102" s="296" t="inlineStr">
        <is>
          <t>Files</t>
        </is>
      </c>
      <c r="D102" s="296" t="inlineStr">
        <is>
          <t>Lines</t>
        </is>
      </c>
      <c r="E102" s="296" t="inlineStr">
        <is>
          <t>Status</t>
        </is>
      </c>
    </row>
    <row r="103" ht="15" customHeight="1" s="186">
      <c r="A103" s="185" t="inlineStr">
        <is>
          <t>AR - Arjun</t>
        </is>
      </c>
      <c r="B103" s="185" t="inlineStr">
        <is>
          <t>TypedEventBus (Redis Streams + InMemory), ADR-010</t>
        </is>
      </c>
      <c r="C103" s="303" t="n">
        <v>7</v>
      </c>
      <c r="D103" s="303" t="n">
        <v>2873</v>
      </c>
      <c r="E103" s="328" t="inlineStr">
        <is>
          <t>DONE</t>
        </is>
      </c>
    </row>
    <row r="104" ht="15" customHeight="1" s="186">
      <c r="A104" s="185" t="inlineStr">
        <is>
          <t>DM - Dev</t>
        </is>
      </c>
      <c r="B104" s="185" t="inlineStr">
        <is>
          <t>shadcn/ui Phase 1: button, card, badge, input, select, modal + Tailwind config</t>
        </is>
      </c>
      <c r="C104" s="303" t="n">
        <v>9</v>
      </c>
      <c r="D104" s="303" t="n">
        <v>546</v>
      </c>
      <c r="E104" s="328" t="inlineStr">
        <is>
          <t>DONE</t>
        </is>
      </c>
    </row>
    <row r="105" ht="15" customHeight="1" s="186">
      <c r="A105" s="185" t="inlineStr">
        <is>
          <t>NK - Neha</t>
        </is>
      </c>
      <c r="B105" s="185" t="inlineStr">
        <is>
          <t>shadcn/ui Phase 2: table, tabs, toast, stat-card, empty-state + dropdown/skeleton/tooltip</t>
        </is>
      </c>
      <c r="C105" s="303" t="n">
        <v>8</v>
      </c>
      <c r="D105" s="303" t="n">
        <v>866</v>
      </c>
      <c r="E105" s="328" t="inlineStr">
        <is>
          <t>DONE</t>
        </is>
      </c>
    </row>
    <row r="106" ht="15" customHeight="1" s="186">
      <c r="A106" s="185" t="inlineStr">
        <is>
          <t>RG - Rohan</t>
        </is>
      </c>
      <c r="B106" s="185" t="inlineStr">
        <is>
          <t>Workflow-API integration (auto-trigger, hooks, Fastify plugin)</t>
        </is>
      </c>
      <c r="C106" s="303" t="n">
        <v>4</v>
      </c>
      <c r="D106" s="303" t="n">
        <v>1348</v>
      </c>
      <c r="E106" s="328" t="inlineStr">
        <is>
          <t>DONE</t>
        </is>
      </c>
    </row>
    <row r="107" ht="15" customHeight="1" s="186">
      <c r="A107" s="185" t="inlineStr">
        <is>
          <t>SP - Sanya</t>
        </is>
      </c>
      <c r="B107" s="185" t="inlineStr">
        <is>
          <t>Outbound webhook system (manager, delivery, processor, emitter, routes, Prisma)</t>
        </is>
      </c>
      <c r="C107" s="303" t="n">
        <v>8</v>
      </c>
      <c r="D107" s="303" t="n">
        <v>2186</v>
      </c>
      <c r="E107" s="328" t="inlineStr">
        <is>
          <t>DONE</t>
        </is>
      </c>
    </row>
    <row r="108" ht="15" customHeight="1" s="186">
      <c r="A108" s="185" t="inlineStr">
        <is>
          <t>VS - Vikram</t>
        </is>
      </c>
      <c r="B108" s="185" t="inlineStr">
        <is>
          <t>Design system foundation (tokens, header/sidebar migration, barrel export, gallery)</t>
        </is>
      </c>
      <c r="C108" s="303" t="n">
        <v>5</v>
      </c>
      <c r="D108" s="303" t="n">
        <v>1255</v>
      </c>
      <c r="E108" s="328" t="inlineStr">
        <is>
          <t>DONE</t>
        </is>
      </c>
    </row>
    <row r="109" ht="15" customHeight="1" s="186">
      <c r="A109" s="185" t="inlineStr">
        <is>
          <t>PK - Priya</t>
        </is>
      </c>
      <c r="B109" s="185" t="inlineStr">
        <is>
          <t>Socket.io realtime workflow events + SSE fallback + plugin</t>
        </is>
      </c>
      <c r="C109" s="303" t="n">
        <v>5</v>
      </c>
      <c r="D109" s="303" t="n">
        <v>1208</v>
      </c>
      <c r="E109" s="328" t="inlineStr">
        <is>
          <t>DONE</t>
        </is>
      </c>
    </row>
    <row r="110" ht="15" customHeight="1" s="186">
      <c r="A110" s="185" t="inlineStr">
        <is>
          <t>KS - Kavitha</t>
        </is>
      </c>
      <c r="B110" s="185" t="inlineStr">
        <is>
          <t>6 test suites (event-bus, webhook, workflow-integration, realtime, UI, routes)</t>
        </is>
      </c>
      <c r="C110" s="303" t="n">
        <v>6</v>
      </c>
      <c r="D110" s="303" t="n">
        <v>2183</v>
      </c>
      <c r="E110" s="328" t="inlineStr">
        <is>
          <t>DONE</t>
        </is>
      </c>
    </row>
    <row r="111" ht="15" customHeight="1" s="186">
      <c r="A111" s="185" t="inlineStr">
        <is>
          <t>AM - Aisha</t>
        </is>
      </c>
      <c r="B111" s="185" t="inlineStr">
        <is>
          <t>Shopify webhook management (API handler, config, detail, event picker)</t>
        </is>
      </c>
      <c r="C111" s="303" t="n">
        <v>4</v>
      </c>
      <c r="D111" s="303" t="n">
        <v>1884</v>
      </c>
      <c r="E111" s="328" t="inlineStr">
        <is>
          <t>DONE</t>
        </is>
      </c>
    </row>
    <row r="113" ht="15" customHeight="1" s="186">
      <c r="A113" s="329" t="inlineStr">
        <is>
          <t>SPRINT 3.1 PLANNED</t>
        </is>
      </c>
    </row>
    <row r="115" ht="15" customHeight="1" s="186">
      <c r="A115" s="296" t="inlineStr">
        <is>
          <t>Agent</t>
        </is>
      </c>
      <c r="B115" s="296" t="inlineStr">
        <is>
          <t>Deliverable</t>
        </is>
      </c>
      <c r="C115" s="296" t="inlineStr">
        <is>
          <t>Focus</t>
        </is>
      </c>
      <c r="D115" s="296" t="inlineStr">
        <is>
          <t>Category</t>
        </is>
      </c>
    </row>
    <row r="116" ht="15" customHeight="1" s="186">
      <c r="A116" s="185" t="inlineStr">
        <is>
          <t>AR - Arjun</t>
        </is>
      </c>
      <c r="B116" s="185" t="inlineStr">
        <is>
          <t>ADR-011, extension-core package</t>
        </is>
      </c>
      <c r="C116" s="185" t="inlineStr">
        <is>
          <t>8 files</t>
        </is>
      </c>
      <c r="D116" s="185" t="inlineStr">
        <is>
          <t>Extensions</t>
        </is>
      </c>
    </row>
    <row r="117" ht="15" customHeight="1" s="186">
      <c r="A117" s="185" t="inlineStr">
        <is>
          <t>DM - Dev</t>
        </is>
      </c>
      <c r="B117" s="185" t="inlineStr">
        <is>
          <t>Page migration batch 1 (Tailwind)</t>
        </is>
      </c>
      <c r="C117" s="185" t="inlineStr">
        <is>
          <t>7 pages</t>
        </is>
      </c>
      <c r="D117" s="185" t="inlineStr">
        <is>
          <t>Design System</t>
        </is>
      </c>
    </row>
    <row r="118" ht="15" customHeight="1" s="186">
      <c r="A118" s="185" t="inlineStr">
        <is>
          <t>NK - Neha</t>
        </is>
      </c>
      <c r="B118" s="185" t="inlineStr">
        <is>
          <t>Page migration batch 2 (Tailwind)</t>
        </is>
      </c>
      <c r="C118" s="185" t="inlineStr">
        <is>
          <t>7 pages</t>
        </is>
      </c>
      <c r="D118" s="185" t="inlineStr">
        <is>
          <t>Design System</t>
        </is>
      </c>
    </row>
    <row r="119" ht="15" customHeight="1" s="186">
      <c r="A119" s="185" t="inlineStr">
        <is>
          <t>VS - Vikram</t>
        </is>
      </c>
      <c r="B119" s="185" t="inlineStr">
        <is>
          <t>Page migration batch 3 (Tailwind)</t>
        </is>
      </c>
      <c r="C119" s="185" t="inlineStr">
        <is>
          <t>6 pages</t>
        </is>
      </c>
      <c r="D119" s="185" t="inlineStr">
        <is>
          <t>Integration</t>
        </is>
      </c>
    </row>
    <row r="120" ht="15" customHeight="1" s="186">
      <c r="A120" s="185" t="inlineStr">
        <is>
          <t>RG - Rohan</t>
        </is>
      </c>
      <c r="B120" s="185" t="inlineStr">
        <is>
          <t>Queue consumer DB integration</t>
        </is>
      </c>
      <c r="C120" s="185" t="inlineStr">
        <is>
          <t>4 files</t>
        </is>
      </c>
      <c r="D120" s="185" t="inlineStr">
        <is>
          <t>Events</t>
        </is>
      </c>
    </row>
    <row r="121" ht="15" customHeight="1" s="186">
      <c r="A121" s="185" t="inlineStr">
        <is>
          <t>SP - Sanya</t>
        </is>
      </c>
      <c r="B121" s="185" t="inlineStr">
        <is>
          <t>Event-webhook bridge</t>
        </is>
      </c>
      <c r="C121" s="185" t="inlineStr">
        <is>
          <t>5 files</t>
        </is>
      </c>
      <c r="D121" s="185" t="inlineStr">
        <is>
          <t>Design System</t>
        </is>
      </c>
    </row>
    <row r="122" ht="15" customHeight="1" s="186">
      <c r="A122" s="185" t="inlineStr">
        <is>
          <t>PK - Priya</t>
        </is>
      </c>
      <c r="B122" s="185" t="inlineStr">
        <is>
          <t>File storage + push notifications</t>
        </is>
      </c>
      <c r="C122" s="185" t="inlineStr">
        <is>
          <t>8 files</t>
        </is>
      </c>
      <c r="D122" s="185" t="inlineStr">
        <is>
          <t>Infrastructure</t>
        </is>
      </c>
    </row>
    <row r="123" ht="15" customHeight="1" s="186">
      <c r="A123" s="185" t="inlineStr">
        <is>
          <t>KS - Kavitha</t>
        </is>
      </c>
      <c r="B123" s="185" t="inlineStr">
        <is>
          <t>Integration tests</t>
        </is>
      </c>
      <c r="C123" s="185" t="inlineStr">
        <is>
          <t>6 test suites</t>
        </is>
      </c>
      <c r="D123" s="185" t="inlineStr">
        <is>
          <t>Testing</t>
        </is>
      </c>
    </row>
    <row r="124" ht="15" customHeight="1" s="186">
      <c r="A124" s="185" t="inlineStr">
        <is>
          <t>AM - Aisha</t>
        </is>
      </c>
      <c r="B124" s="185" t="inlineStr">
        <is>
          <t>Checkout UI extension</t>
        </is>
      </c>
      <c r="C124" s="185" t="inlineStr">
        <is>
          <t>10 files</t>
        </is>
      </c>
      <c r="D124" s="185" t="inlineStr">
        <is>
          <t>Shopify</t>
        </is>
      </c>
    </row>
    <row r="125" ht="15" customHeight="1" s="186">
      <c r="A125" s="292" t="inlineStr">
        <is>
          <t>TOTAL</t>
        </is>
      </c>
      <c r="B125" s="292" t="inlineStr">
        <is>
          <t>Sprint 3.1 Deliverables</t>
        </is>
      </c>
      <c r="C125" s="292" t="inlineStr">
        <is>
          <t>58 files + 6 test suites</t>
        </is>
      </c>
      <c r="D125" s="292" t="inlineStr">
        <is>
          <t>24,767 lines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8" customWidth="1" style="185" min="1" max="2"/>
    <col width="18" customWidth="1" style="185" min="3" max="3"/>
    <col width="55" customWidth="1" style="185" min="4" max="4"/>
    <col width="50" customWidth="1" style="185" min="5" max="5"/>
    <col width="10" customWidth="1" style="185" min="6" max="6"/>
    <col width="15" customWidth="1" style="185" min="7" max="7"/>
  </cols>
  <sheetData>
    <row r="1" ht="17.25" customHeight="1" s="186">
      <c r="A1" s="330" t="inlineStr">
        <is>
          <t>WITYLOGIX — STANDUP NOTES &amp; ACTION ITEMS</t>
        </is>
      </c>
    </row>
    <row r="2" ht="15" customHeight="1" s="186">
      <c r="A2" s="331" t="inlineStr">
        <is>
          <t>Architecture Pivot Debate — 2026-03-07 | Sprint 2.9 Kickoff</t>
        </is>
      </c>
    </row>
    <row r="3" ht="15" customHeight="1" s="186">
      <c r="A3" s="292" t="inlineStr">
        <is>
          <t>Sprint 4.0 Standup — 2026-03-10 — Documentation Engine Discussion</t>
        </is>
      </c>
    </row>
    <row r="4" ht="15" customHeight="1" s="186">
      <c r="A4" s="332" t="inlineStr">
        <is>
          <t>Docs Engine</t>
        </is>
      </c>
      <c r="B4" s="185" t="inlineStr">
        <is>
          <t>Fumadocs (Next.js, open-source, MDX, AI-ready)</t>
        </is>
      </c>
    </row>
    <row r="5" ht="15" customHeight="1" s="186">
      <c r="A5" s="292" t="inlineStr">
        <is>
          <t>Location</t>
        </is>
      </c>
    </row>
    <row r="6" ht="15" customHeight="1" s="186">
      <c r="A6" s="185" t="inlineStr">
        <is>
          <t>AI Search</t>
        </is>
      </c>
      <c r="B6" s="185" t="inlineStr">
        <is>
          <t>Anthropic Claude API for RAG-powered doc chat</t>
        </is>
      </c>
    </row>
    <row r="7" ht="15" customHeight="1" s="186">
      <c r="A7" s="333" t="inlineStr">
        <is>
          <t>API Reference</t>
        </is>
      </c>
      <c r="B7" s="333" t="inlineStr">
        <is>
          <t>Auto-generated from OpenAPI 3.0 spec</t>
        </is>
      </c>
      <c r="C7" s="333" t="inlineStr">
        <is>
          <t>Scope</t>
        </is>
      </c>
      <c r="D7" s="333" t="inlineStr">
        <is>
          <t>Key Deliverables</t>
        </is>
      </c>
      <c r="E7" s="333" t="inlineStr">
        <is>
          <t>Status</t>
        </is>
      </c>
    </row>
    <row r="8" ht="15" customHeight="1" s="186">
      <c r="A8" s="334" t="inlineStr">
        <is>
          <t>TypeScript SDK</t>
        </is>
      </c>
      <c r="B8" s="334" t="inlineStr">
        <is>
          <t>packages/sdk auto-generated from OpenAPI</t>
        </is>
      </c>
      <c r="C8" s="334" t="inlineStr">
        <is>
          <t>Workflow Engine ONLY</t>
        </is>
      </c>
      <c r="D8" s="334" t="inlineStr">
        <is>
          <t>packages/framework/, 3 core workflows (createDeliveryOrder, assignDriver, completeDelivery), BullMQ backing</t>
        </is>
      </c>
      <c r="E8" s="335" t="inlineStr">
        <is>
          <t>Sprint 2.9 — In Progress</t>
        </is>
      </c>
    </row>
    <row r="9" ht="15" customHeight="1" s="186">
      <c r="A9" s="334" t="inlineStr">
        <is>
          <t>Design</t>
        </is>
      </c>
      <c r="B9" s="334" t="inlineStr">
        <is>
          <t>Dark-first, --wl-* CSS vars, industrial aesthetic</t>
        </is>
      </c>
      <c r="C9" s="334" t="inlineStr">
        <is>
          <t>Event Bus</t>
        </is>
      </c>
      <c r="D9" s="334" t="inlineStr">
        <is>
          <t>Redis-backed event bus, notification/analytics/webhook subscribers, event-driven side effects</t>
        </is>
      </c>
      <c r="E9" s="336" t="inlineStr">
        <is>
          <t>Deferred</t>
        </is>
      </c>
    </row>
    <row r="10" ht="15" customHeight="1" s="186">
      <c r="A10" s="334" t="inlineStr">
        <is>
          <t>Component Gallery</t>
        </is>
      </c>
      <c r="B10" s="334" t="inlineStr">
        <is>
          <t>23 components with live previews</t>
        </is>
      </c>
      <c r="C10" s="334" t="inlineStr">
        <is>
          <t>Module Links + Plugin System</t>
        </is>
      </c>
      <c r="D10" s="334" t="inlineStr">
        <is>
          <t>defineLink cross-module relations, plugin API (modules+workflows+hooks+subscribers as npm packages)</t>
        </is>
      </c>
      <c r="E10" s="336" t="inlineStr">
        <is>
          <t>Deferred</t>
        </is>
      </c>
    </row>
    <row r="11" ht="15" customHeight="1" s="186">
      <c r="A11" s="185" t="inlineStr">
        <is>
          <t>Target</t>
        </is>
      </c>
      <c r="B11" s="185" t="inlineStr">
        <is>
          <t>Sprint 4.1 — all 9 agents</t>
        </is>
      </c>
    </row>
    <row r="13" ht="15" customHeight="1" s="186">
      <c r="A13" s="332" t="inlineStr">
        <is>
          <t>BLUE/RED TEAM CONSENSUS</t>
        </is>
      </c>
    </row>
    <row r="14" ht="15" customHeight="1" s="186">
      <c r="A14" s="337" t="inlineStr">
        <is>
          <t>Agreement</t>
        </is>
      </c>
      <c r="B14" s="337" t="inlineStr">
        <is>
          <t>Blue Team Position</t>
        </is>
      </c>
      <c r="C14" s="337" t="inlineStr">
        <is>
          <t>Red Team Position</t>
        </is>
      </c>
      <c r="D14" s="337" t="inlineStr">
        <is>
          <t>Resolution</t>
        </is>
      </c>
    </row>
    <row r="15" ht="15" customHeight="1" s="186">
      <c r="A15" s="334" t="inlineStr">
        <is>
          <t>BYOK Pattern</t>
        </is>
      </c>
      <c r="B15" s="334" t="inlineStr">
        <is>
          <t>Keep it</t>
        </is>
      </c>
      <c r="C15" s="334" t="inlineStr">
        <is>
          <t>Keep it</t>
        </is>
      </c>
      <c r="D15" s="338" t="inlineStr">
        <is>
          <t>Unanimous — BYOK stays</t>
        </is>
      </c>
    </row>
    <row r="16" ht="15" customHeight="1" s="186">
      <c r="A16" s="334" t="inlineStr">
        <is>
          <t>Prisma ORM</t>
        </is>
      </c>
      <c r="B16" s="334" t="inlineStr">
        <is>
          <t>Keep it (no DML/MikroORM)</t>
        </is>
      </c>
      <c r="C16" s="334" t="inlineStr">
        <is>
          <t>Keep it</t>
        </is>
      </c>
      <c r="D16" s="338" t="inlineStr">
        <is>
          <t>Unanimous — Prisma stays</t>
        </is>
      </c>
    </row>
    <row r="17" ht="15" customHeight="1" s="186">
      <c r="A17" s="334" t="inlineStr">
        <is>
          <t>Fastify Framework</t>
        </is>
      </c>
      <c r="B17" s="334" t="inlineStr">
        <is>
          <t>Keep it</t>
        </is>
      </c>
      <c r="C17" s="334" t="inlineStr">
        <is>
          <t>Keep it</t>
        </is>
      </c>
      <c r="D17" s="338" t="inlineStr">
        <is>
          <t>Unanimous — Fastify stays</t>
        </is>
      </c>
    </row>
    <row r="18" ht="15" customHeight="1" s="186">
      <c r="A18" s="334" t="inlineStr">
        <is>
          <t>RLS Multi-tenancy</t>
        </is>
      </c>
      <c r="B18" s="334" t="inlineStr">
        <is>
          <t>Keep it</t>
        </is>
      </c>
      <c r="C18" s="334" t="inlineStr">
        <is>
          <t>Keep it</t>
        </is>
      </c>
      <c r="D18" s="338" t="inlineStr">
        <is>
          <t>Unanimous — RLS stays</t>
        </is>
      </c>
    </row>
    <row r="19" ht="15" customHeight="1" s="186">
      <c r="A19" s="334" t="inlineStr">
        <is>
          <t>Workflow Engine</t>
        </is>
      </c>
      <c r="B19" s="334" t="inlineStr">
        <is>
          <t>Build NOW in Sprint 2.9</t>
        </is>
      </c>
      <c r="C19" s="334" t="inlineStr">
        <is>
          <t>Defer until pain is proven</t>
        </is>
      </c>
      <c r="D19" s="339" t="inlineStr">
        <is>
          <t>Blue won — build NOW, prove on 3 workflows</t>
        </is>
      </c>
    </row>
    <row r="20" ht="15" customHeight="1" s="186">
      <c r="A20" s="334" t="inlineStr">
        <is>
          <t>Event Bus</t>
        </is>
      </c>
      <c r="B20" s="334" t="inlineStr">
        <is>
          <t>Build in Phase 1</t>
        </is>
      </c>
      <c r="C20" s="334" t="inlineStr">
        <is>
          <t>Defer until 10 customers</t>
        </is>
      </c>
      <c r="D20" s="340" t="inlineStr">
        <is>
          <t>Red won — defer to Phase 2</t>
        </is>
      </c>
    </row>
    <row r="21" ht="15" customHeight="1" s="186">
      <c r="A21" s="334" t="inlineStr">
        <is>
          <t>Module Links</t>
        </is>
      </c>
      <c r="B21" s="334" t="inlineStr">
        <is>
          <t>Build in Phase 2</t>
        </is>
      </c>
      <c r="C21" s="334" t="inlineStr">
        <is>
          <t>Defer until 50 customers</t>
        </is>
      </c>
      <c r="D21" s="340" t="inlineStr">
        <is>
          <t>Red won — defer to Phase 3</t>
        </is>
      </c>
    </row>
    <row r="22" ht="15" customHeight="1" s="186">
      <c r="A22" s="334" t="inlineStr">
        <is>
          <t>Plugin System</t>
        </is>
      </c>
      <c r="B22" s="334" t="inlineStr">
        <is>
          <t>Build in Phase 2</t>
        </is>
      </c>
      <c r="C22" s="334" t="inlineStr">
        <is>
          <t>Defer until customer demand</t>
        </is>
      </c>
      <c r="D22" s="340" t="inlineStr">
        <is>
          <t>Red won — defer to Phase 3</t>
        </is>
      </c>
    </row>
    <row r="23" ht="15" customHeight="1" s="186">
      <c r="A23" s="334" t="inlineStr">
        <is>
          <t>18-Month Roadmap</t>
        </is>
      </c>
      <c r="B23" s="334" t="inlineStr">
        <is>
          <t>Commit to full timeline</t>
        </is>
      </c>
      <c r="C23" s="334" t="inlineStr">
        <is>
          <t>Re-evaluate after each phase</t>
        </is>
      </c>
      <c r="D23" s="340" t="inlineStr">
        <is>
          <t>Red won — no timeline commitment</t>
        </is>
      </c>
    </row>
    <row r="26" ht="15" customHeight="1" s="186">
      <c r="A26" s="332" t="inlineStr">
        <is>
          <t>SPRINT 2.9 ACTION ITEMS</t>
        </is>
      </c>
    </row>
    <row r="27" ht="15" customHeight="1" s="186">
      <c r="A27" s="341" t="inlineStr">
        <is>
          <t>ID</t>
        </is>
      </c>
      <c r="B27" s="341" t="inlineStr">
        <is>
          <t>Owner</t>
        </is>
      </c>
      <c r="C27" s="341" t="inlineStr">
        <is>
          <t>Squad</t>
        </is>
      </c>
      <c r="D27" s="341" t="inlineStr">
        <is>
          <t>Action</t>
        </is>
      </c>
      <c r="E27" s="341" t="inlineStr">
        <is>
          <t>Deliverable</t>
        </is>
      </c>
      <c r="F27" s="341" t="inlineStr">
        <is>
          <t>Sprint</t>
        </is>
      </c>
      <c r="G27" s="341" t="inlineStr">
        <is>
          <t>Status</t>
        </is>
      </c>
    </row>
    <row r="28" ht="15" customHeight="1" s="186">
      <c r="A28" s="334" t="n">
        <v>1</v>
      </c>
      <c r="B28" s="334" t="inlineStr">
        <is>
          <t>AR - Arjun</t>
        </is>
      </c>
      <c r="C28" s="334" t="inlineStr">
        <is>
          <t>Architecture</t>
        </is>
      </c>
      <c r="D28" s="334" t="inlineStr">
        <is>
          <t>Design packages/framework/ with workflow engine, container DI, step runner</t>
        </is>
      </c>
      <c r="E28" s="334" t="inlineStr">
        <is>
          <t>Workflow engine framework (10 files, 1,738 lines)</t>
        </is>
      </c>
      <c r="F28" s="334" t="inlineStr">
        <is>
          <t>2.9</t>
        </is>
      </c>
      <c r="G28" s="342" t="inlineStr">
        <is>
          <t>Done</t>
        </is>
      </c>
    </row>
    <row r="29" ht="15" customHeight="1" s="186">
      <c r="A29" s="334" t="n">
        <v>2</v>
      </c>
      <c r="B29" s="334" t="inlineStr">
        <is>
          <t>RG - Rohan</t>
        </is>
      </c>
      <c r="C29" s="334" t="inlineStr">
        <is>
          <t>Core Backend</t>
        </is>
      </c>
      <c r="D29" s="334" t="inlineStr">
        <is>
          <t>Define interfaces for WorkflowStep, WorkflowContext, StepCompensation</t>
        </is>
      </c>
      <c r="E29" s="334" t="inlineStr">
        <is>
          <t>Workflow steps library (12 steps, 2,413 lines)</t>
        </is>
      </c>
      <c r="F29" s="334" t="inlineStr">
        <is>
          <t>2.9</t>
        </is>
      </c>
      <c r="G29" s="342" t="inlineStr">
        <is>
          <t>Done</t>
        </is>
      </c>
    </row>
    <row r="30" ht="15" customHeight="1" s="186">
      <c r="A30" s="334" t="n">
        <v>3</v>
      </c>
      <c r="B30" s="334" t="inlineStr">
        <is>
          <t>PK - Priya</t>
        </is>
      </c>
      <c r="C30" s="334" t="inlineStr">
        <is>
          <t>Core Backend</t>
        </is>
      </c>
      <c r="D30" s="334" t="inlineStr">
        <is>
          <t>Implement createDeliveryOrderWorkflow as proof-of-concept</t>
        </is>
      </c>
      <c r="E30" s="334" t="inlineStr">
        <is>
          <t>9-step workflow with 3-step compensation (1,496 lines)</t>
        </is>
      </c>
      <c r="F30" s="334" t="inlineStr">
        <is>
          <t>2.9</t>
        </is>
      </c>
      <c r="G30" s="342" t="inlineStr">
        <is>
          <t>Done</t>
        </is>
      </c>
    </row>
    <row r="31" ht="15" customHeight="1" s="186">
      <c r="A31" s="334" t="n">
        <v>4</v>
      </c>
      <c r="B31" s="334" t="inlineStr">
        <is>
          <t>SP - Sanya</t>
        </is>
      </c>
      <c r="C31" s="334" t="inlineStr">
        <is>
          <t>Core Backend</t>
        </is>
      </c>
      <c r="D31" s="334" t="inlineStr">
        <is>
          <t>Implement assignDriverWorkflow using the framework</t>
        </is>
      </c>
      <c r="E31" s="334" t="inlineStr">
        <is>
          <t>10-step workflow with scoring algorithm (1,239 lines)</t>
        </is>
      </c>
      <c r="F31" s="334" t="inlineStr">
        <is>
          <t>2.9</t>
        </is>
      </c>
      <c r="G31" s="342" t="inlineStr">
        <is>
          <t>Done</t>
        </is>
      </c>
    </row>
    <row r="32" ht="15" customHeight="1" s="186">
      <c r="A32" s="334" t="n">
        <v>5</v>
      </c>
      <c r="B32" s="334" t="inlineStr">
        <is>
          <t>NK - Neha</t>
        </is>
      </c>
      <c r="C32" s="334" t="inlineStr">
        <is>
          <t>Core Backend</t>
        </is>
      </c>
      <c r="D32" s="334" t="inlineStr">
        <is>
          <t>Implement completeDeliveryWorkflow</t>
        </is>
      </c>
      <c r="E32" s="334" t="inlineStr">
        <is>
          <t>11-step workflow with POD verification (1,576 lines)</t>
        </is>
      </c>
      <c r="F32" s="334" t="inlineStr">
        <is>
          <t>2.9</t>
        </is>
      </c>
      <c r="G32" s="342" t="inlineStr">
        <is>
          <t>Done</t>
        </is>
      </c>
    </row>
    <row r="33" ht="15" customHeight="1" s="186">
      <c r="A33" s="334" t="n">
        <v>6</v>
      </c>
      <c r="B33" s="334" t="inlineStr">
        <is>
          <t>KS - Kavitha</t>
        </is>
      </c>
      <c r="C33" s="334" t="inlineStr">
        <is>
          <t>QA</t>
        </is>
      </c>
      <c r="D33" s="334" t="inlineStr">
        <is>
          <t>Write test suites for all 3 workflows (step + workflow level)</t>
        </is>
      </c>
      <c r="E33" s="334" t="inlineStr">
        <is>
          <t>6 test files, 240+ test cases (3,194 lines)</t>
        </is>
      </c>
      <c r="F33" s="334" t="inlineStr">
        <is>
          <t>2.9</t>
        </is>
      </c>
      <c r="G33" s="342" t="inlineStr">
        <is>
          <t>Done</t>
        </is>
      </c>
    </row>
    <row r="34" ht="15" customHeight="1" s="186">
      <c r="A34" s="334" t="n">
        <v>7</v>
      </c>
      <c r="B34" s="334" t="inlineStr">
        <is>
          <t>DM - Dev</t>
        </is>
      </c>
      <c r="C34" s="334" t="inlineStr">
        <is>
          <t>Frontend</t>
        </is>
      </c>
      <c r="D34" s="334" t="inlineStr">
        <is>
          <t>Dashboard page: workflow execution viewer</t>
        </is>
      </c>
      <c r="E34" s="334" t="inlineStr">
        <is>
          <t>List + detail pages with step timeline (1,163 lines)</t>
        </is>
      </c>
      <c r="F34" s="334" t="inlineStr">
        <is>
          <t>2.9</t>
        </is>
      </c>
      <c r="G34" s="342" t="inlineStr">
        <is>
          <t>Done</t>
        </is>
      </c>
    </row>
    <row r="35" ht="15" customHeight="1" s="186">
      <c r="A35" s="334" t="n">
        <v>8</v>
      </c>
      <c r="B35" s="334" t="inlineStr">
        <is>
          <t>VS - Vikram</t>
        </is>
      </c>
      <c r="C35" s="334" t="inlineStr">
        <is>
          <t>Core Backend</t>
        </is>
      </c>
      <c r="D35" s="334" t="inlineStr">
        <is>
          <t>Refactor 3 existing API routes to call workflows</t>
        </is>
      </c>
      <c r="E35" s="334" t="inlineStr">
        <is>
          <t>4 workflow route files (1,660 lines)</t>
        </is>
      </c>
      <c r="F35" s="334" t="inlineStr">
        <is>
          <t>2.9</t>
        </is>
      </c>
      <c r="G35" s="342" t="inlineStr">
        <is>
          <t>Done</t>
        </is>
      </c>
    </row>
    <row r="36" ht="15" customHeight="1" s="186">
      <c r="A36" s="334" t="n">
        <v>9</v>
      </c>
      <c r="B36" s="334" t="inlineStr">
        <is>
          <t>AM - Aisha</t>
        </is>
      </c>
      <c r="C36" s="334" t="inlineStr">
        <is>
          <t>Platform</t>
        </is>
      </c>
      <c r="D36" s="334" t="inlineStr">
        <is>
          <t>BullMQ integration for durable workflow execution</t>
        </is>
      </c>
      <c r="E36" s="334" t="inlineStr">
        <is>
          <t>Queue, worker, scheduler, dead-letter (1,397 lines)</t>
        </is>
      </c>
      <c r="F36" s="334" t="inlineStr">
        <is>
          <t>2.9</t>
        </is>
      </c>
      <c r="G36" s="342" t="inlineStr">
        <is>
          <t>Done</t>
        </is>
      </c>
    </row>
    <row r="37" ht="15" customHeight="1" s="186">
      <c r="A37" s="334" t="n">
        <v>10</v>
      </c>
      <c r="B37" s="334" t="inlineStr">
        <is>
          <t>ALL</t>
        </is>
      </c>
      <c r="C37" s="334" t="inlineStr">
        <is>
          <t>ALL</t>
        </is>
      </c>
      <c r="D37" s="334" t="inlineStr">
        <is>
          <t>After Sprint 2.9: review, retrospective, decide Phase 2 scope</t>
        </is>
      </c>
      <c r="E37" s="334" t="inlineStr">
        <is>
          <t>Retrospective document</t>
        </is>
      </c>
      <c r="F37" s="334" t="inlineStr">
        <is>
          <t>3.0</t>
        </is>
      </c>
      <c r="G37" s="336" t="inlineStr">
        <is>
          <t>Planned</t>
        </is>
      </c>
    </row>
    <row r="40" ht="15" customHeight="1" s="186">
      <c r="A40" s="332" t="inlineStr">
        <is>
          <t>REFERENCE DOCUMENTS</t>
        </is>
      </c>
    </row>
    <row r="41" ht="15" customHeight="1" s="186">
      <c r="A41" s="185" t="inlineStr">
        <is>
          <t>ADR-009:</t>
        </is>
      </c>
      <c r="B41" s="185" t="inlineStr">
        <is>
          <t>docs/adr/ADR-009-medusa-inspired-architecture-evolution.md</t>
        </is>
      </c>
    </row>
    <row r="42" ht="15" customHeight="1" s="186">
      <c r="A42" s="185" t="inlineStr">
        <is>
          <t>Standup Notes:</t>
        </is>
      </c>
      <c r="B42" s="185" t="inlineStr">
        <is>
          <t>docs/sprint-notes/STANDUP-2026-03-07-architecture-debate.md</t>
        </is>
      </c>
    </row>
    <row r="43" ht="15" customHeight="1" s="186">
      <c r="A43" s="185" t="inlineStr">
        <is>
          <t>Blue Team:</t>
        </is>
      </c>
      <c r="B43" s="185" t="inlineStr">
        <is>
          <t>AR (CTO), DM (Frontend), NK (Frontend Lead), KS (QA Lead)</t>
        </is>
      </c>
    </row>
    <row r="44" ht="15" customHeight="1" s="186">
      <c r="A44" s="185" t="inlineStr">
        <is>
          <t>Red Team:</t>
        </is>
      </c>
      <c r="B44" s="185" t="inlineStr">
        <is>
          <t>RG (Backend Lead), SP (Full-stack), PK (Sr. Backend), VS (Component Dev), AM (Integration)</t>
        </is>
      </c>
    </row>
    <row r="46" ht="15" customHeight="1" s="186">
      <c r="A46" s="292" t="inlineStr">
        <is>
          <t>Sprint 4.2 Standup — 2026-03-10</t>
        </is>
      </c>
    </row>
    <row r="47" ht="15" customHeight="1" s="186">
      <c r="A47" s="343" t="inlineStr">
        <is>
          <t>Sprint 4.2 shipped: ADR-021, SDK tests (141 cases), seed script, driver app screens, settings page, webhook dashboard, 5 new UI components, smoke test, CI updates</t>
        </is>
      </c>
    </row>
    <row r="48" ht="15" customHeight="1" s="186">
      <c r="A48" s="343" t="inlineStr">
        <is>
          <t>Deep dive: CLI deployment tool for one-line VM deployment</t>
        </is>
      </c>
    </row>
    <row r="49" ht="15" customHeight="1" s="186">
      <c r="A49" s="343" t="inlineStr">
        <is>
          <t>Decision: Pure bash CLI (witylogix) with 12 subcommands — install, deploy, upgrade, status, logs, backup, restore, ssl, env, doctor, scale, destroy</t>
        </is>
      </c>
    </row>
    <row r="50" ht="15" customHeight="1" s="186">
      <c r="A50" s="343" t="inlineStr">
        <is>
          <t>Decision: Caddy for reverse proxy with auto-SSL (api/app/docs subdomain routing)</t>
        </is>
      </c>
    </row>
    <row r="51" ht="15" customHeight="1" s="186">
      <c r="A51" s="343" t="inlineStr">
        <is>
          <t>Decision: AI subcommands (ai setup, ai diagnose) for Claude-powered diagnostics</t>
        </is>
      </c>
    </row>
    <row r="52" ht="15" customHeight="1" s="186">
      <c r="A52" s="343" t="inlineStr">
        <is>
          <t>NEW TEAM MEMBER: ZR — Zara (AI Engineer) — AI-powered features, docs search, CLI diagnostics, log analysis</t>
        </is>
      </c>
    </row>
    <row r="53" ht="15" customHeight="1" s="186">
      <c r="A53" s="343" t="inlineStr">
        <is>
          <t>Sprint 4.3 planned: Full CLI tool (infra/cli/witylogix), Caddy templates, production Docker Compose, AI diagnostics, CLI tests</t>
        </is>
      </c>
    </row>
  </sheetData>
  <mergeCells count="3">
    <mergeCell ref="A2:G2"/>
    <mergeCell ref="A1:G1"/>
    <mergeCell ref="A5:G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6" customWidth="1" style="185" min="1" max="1"/>
    <col width="70" customWidth="1" style="185" min="2" max="2"/>
    <col width="12" customWidth="1" style="185" min="3" max="5"/>
  </cols>
  <sheetData>
    <row r="1" ht="17.25" customHeight="1" s="186">
      <c r="A1" s="330" t="inlineStr">
        <is>
          <t>Sprint 3.5 — TODO Cleanup, Platform Abstraction Phase 2, WooCommerce Adapter &amp; Final Tailwind Push</t>
        </is>
      </c>
    </row>
    <row r="3" ht="15" customHeight="1" s="186">
      <c r="A3" s="344" t="inlineStr">
        <is>
          <t>Agent</t>
        </is>
      </c>
      <c r="B3" s="344" t="inlineStr">
        <is>
          <t>Deliverable</t>
        </is>
      </c>
      <c r="C3" s="344" t="inlineStr">
        <is>
          <t>Files (est)</t>
        </is>
      </c>
      <c r="D3" s="344" t="inlineStr">
        <is>
          <t>Lines (est)</t>
        </is>
      </c>
      <c r="E3" s="344" t="inlineStr">
        <is>
          <t>Status</t>
        </is>
      </c>
    </row>
    <row r="4" ht="15" customHeight="1" s="186">
      <c r="A4" s="185" t="inlineStr">
        <is>
          <t>AR - Arjun</t>
        </is>
      </c>
      <c r="B4" s="185" t="inlineStr">
        <is>
          <t>ADR-015 WooCommerce integration + adapter architecture</t>
        </is>
      </c>
      <c r="C4" s="185" t="n">
        <v>3</v>
      </c>
      <c r="D4" s="185" t="n">
        <v>1200</v>
      </c>
      <c r="E4" s="345" t="inlineStr">
        <is>
          <t>PLANNED</t>
        </is>
      </c>
    </row>
    <row r="5" ht="15" customHeight="1" s="186">
      <c r="A5" s="185" t="inlineStr">
        <is>
          <t>RG - Rohan</t>
        </is>
      </c>
      <c r="B5" s="185" t="inlineStr">
        <is>
          <t>Platform abstraction Phase 2 (workflow-integration, inventory, integrations)</t>
        </is>
      </c>
      <c r="C5" s="185" t="n">
        <v>6</v>
      </c>
      <c r="D5" s="185" t="n">
        <v>1800</v>
      </c>
      <c r="E5" s="345" t="inlineStr">
        <is>
          <t>PLANNED</t>
        </is>
      </c>
    </row>
    <row r="6" ht="15" customHeight="1" s="186">
      <c r="A6" s="185" t="inlineStr">
        <is>
          <t>SP - Sanya</t>
        </is>
      </c>
      <c r="B6" s="185" t="inlineStr">
        <is>
          <t>TODO stub cleanup — API routes (routes.ts, collections.ts, integration-worker)</t>
        </is>
      </c>
      <c r="C6" s="185" t="n">
        <v>4</v>
      </c>
      <c r="D6" s="185" t="n">
        <v>800</v>
      </c>
      <c r="E6" s="345" t="inlineStr">
        <is>
          <t>PLANNED</t>
        </is>
      </c>
    </row>
    <row r="7" ht="15" customHeight="1" s="186">
      <c r="A7" s="185" t="inlineStr">
        <is>
          <t>PK - Priya</t>
        </is>
      </c>
      <c r="B7" s="185" t="inlineStr">
        <is>
          <t>TODO stub cleanup — Core modules (campaigns, event-bus, notifications, orchestrator)</t>
        </is>
      </c>
      <c r="C7" s="185" t="n">
        <v>5</v>
      </c>
      <c r="D7" s="185" t="n">
        <v>600</v>
      </c>
      <c r="E7" s="345" t="inlineStr">
        <is>
          <t>PLANNED</t>
        </is>
      </c>
    </row>
    <row r="8" ht="15" customHeight="1" s="186">
      <c r="A8" s="185" t="inlineStr">
        <is>
          <t>DM - Dev</t>
        </is>
      </c>
      <c r="B8" s="185" t="inlineStr">
        <is>
          <t>Tailwind migration batch 13: drivers (76 styles), onboarding (73 styles)</t>
        </is>
      </c>
      <c r="C8" s="185" t="n">
        <v>2</v>
      </c>
      <c r="D8" s="185" t="n">
        <v>1400</v>
      </c>
      <c r="E8" s="345" t="inlineStr">
        <is>
          <t>PLANNED</t>
        </is>
      </c>
    </row>
    <row r="9" ht="15" customHeight="1" s="186">
      <c r="A9" s="185" t="inlineStr">
        <is>
          <t>NK - Nisha</t>
        </is>
      </c>
      <c r="B9" s="185" t="inlineStr">
        <is>
          <t>Tailwind migration batch 14: shipping-profiles, locations, admin, register</t>
        </is>
      </c>
      <c r="C9" s="185" t="n">
        <v>4</v>
      </c>
      <c r="D9" s="185" t="n">
        <v>1200</v>
      </c>
      <c r="E9" s="345" t="inlineStr">
        <is>
          <t>PLANNED</t>
        </is>
      </c>
    </row>
    <row r="10" ht="15" customHeight="1" s="186">
      <c r="A10" s="185" t="inlineStr">
        <is>
          <t>VS - Vikram</t>
        </is>
      </c>
      <c r="B10" s="185" t="inlineStr">
        <is>
          <t>Tailwind migration batch 15: inventory, login, admin/customers, delivery, forgot-password</t>
        </is>
      </c>
      <c r="C10" s="185" t="n">
        <v>5</v>
      </c>
      <c r="D10" s="185" t="n">
        <v>1000</v>
      </c>
      <c r="E10" s="345" t="inlineStr">
        <is>
          <t>PLANNED</t>
        </is>
      </c>
    </row>
    <row r="11" ht="15" customHeight="1" s="186">
      <c r="A11" s="185" t="inlineStr">
        <is>
          <t>KS - Kavitha</t>
        </is>
      </c>
      <c r="B11" s="185" t="inlineStr">
        <is>
          <t>Test suites: WooCommerce adapter, TODO-fix integration, workflow platform tests</t>
        </is>
      </c>
      <c r="C11" s="185" t="n">
        <v>4</v>
      </c>
      <c r="D11" s="185" t="n">
        <v>2800</v>
      </c>
      <c r="E11" s="345" t="inlineStr">
        <is>
          <t>PLANNED</t>
        </is>
      </c>
    </row>
    <row r="12" ht="15" customHeight="1" s="186">
      <c r="A12" s="185" t="inlineStr">
        <is>
          <t>AM - Aisha</t>
        </is>
      </c>
      <c r="B12" s="185" t="inlineStr">
        <is>
          <t>WooCommerce webhook consumer + REST API adapter (orders/products/inventory)</t>
        </is>
      </c>
      <c r="C12" s="185" t="n">
        <v>5</v>
      </c>
      <c r="D12" s="185" t="n">
        <v>2000</v>
      </c>
      <c r="E12" s="345" t="inlineStr">
        <is>
          <t>PLANNED</t>
        </is>
      </c>
    </row>
    <row r="13" ht="15" customHeight="1" s="186">
      <c r="A13" s="292" t="inlineStr">
        <is>
          <t>TOTALS</t>
        </is>
      </c>
      <c r="C13" s="185">
        <f>SUM(C4:C12)</f>
        <v/>
      </c>
      <c r="D13" s="185">
        <f>SUM(D4:D12)</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6" customWidth="1" style="185" min="1" max="1"/>
    <col width="70" customWidth="1" style="185" min="2" max="2"/>
    <col width="12" customWidth="1" style="185" min="3" max="5"/>
  </cols>
  <sheetData>
    <row r="1" ht="17.25" customHeight="1" s="186">
      <c r="A1" s="330" t="inlineStr">
        <is>
          <t>Sprint 3.6 — Magento Adapter, API Route Tests, Platform Cleanup &amp; Tailwind Finish</t>
        </is>
      </c>
    </row>
    <row r="3" ht="15" customHeight="1" s="186">
      <c r="A3" s="344" t="inlineStr">
        <is>
          <t>Agent</t>
        </is>
      </c>
      <c r="B3" s="344" t="inlineStr">
        <is>
          <t>Deliverable</t>
        </is>
      </c>
      <c r="C3" s="344" t="inlineStr">
        <is>
          <t>Files (est)</t>
        </is>
      </c>
      <c r="D3" s="344" t="inlineStr">
        <is>
          <t>Lines (est)</t>
        </is>
      </c>
      <c r="E3" s="344" t="inlineStr">
        <is>
          <t>Status</t>
        </is>
      </c>
    </row>
    <row r="4" ht="15" customHeight="1" s="186">
      <c r="A4" s="185" t="inlineStr">
        <is>
          <t>AR - Arjun</t>
        </is>
      </c>
      <c r="B4" s="185" t="inlineStr">
        <is>
          <t>ADR-016 Magento integration + Magento REST adapter (PlatformAdapter)</t>
        </is>
      </c>
      <c r="C4" s="185" t="n">
        <v>3</v>
      </c>
      <c r="D4" s="185" t="n">
        <v>1800</v>
      </c>
      <c r="E4" s="345" t="inlineStr">
        <is>
          <t>PLANNED</t>
        </is>
      </c>
    </row>
    <row r="5" ht="15" customHeight="1" s="186">
      <c r="A5" s="185" t="inlineStr">
        <is>
          <t>RG - Rohan</t>
        </is>
      </c>
      <c r="B5" s="185" t="inlineStr">
        <is>
          <t>Platform abstraction Phase 3 — final Shopify refs in payments, integrations, collections</t>
        </is>
      </c>
      <c r="C5" s="185" t="n">
        <v>6</v>
      </c>
      <c r="D5" s="185" t="n">
        <v>600</v>
      </c>
      <c r="E5" s="345" t="inlineStr">
        <is>
          <t>PLANNED</t>
        </is>
      </c>
    </row>
    <row r="6" ht="15" customHeight="1" s="186">
      <c r="A6" s="185" t="inlineStr">
        <is>
          <t>SP - Sanya</t>
        </is>
      </c>
      <c r="B6" s="185" t="inlineStr">
        <is>
          <t>API route integration tests: orders, drivers, routes, webhooks</t>
        </is>
      </c>
      <c r="C6" s="185" t="n">
        <v>4</v>
      </c>
      <c r="D6" s="185" t="n">
        <v>3200</v>
      </c>
      <c r="E6" s="345" t="inlineStr">
        <is>
          <t>PLANNED</t>
        </is>
      </c>
    </row>
    <row r="7" ht="15" customHeight="1" s="186">
      <c r="A7" s="185" t="inlineStr">
        <is>
          <t>PK - Priya</t>
        </is>
      </c>
      <c r="B7" s="185" t="inlineStr">
        <is>
          <t>Final 2 TODO stubs cleanup + Magento webhook consumer</t>
        </is>
      </c>
      <c r="C7" s="185" t="n">
        <v>3</v>
      </c>
      <c r="D7" s="185" t="n">
        <v>800</v>
      </c>
      <c r="E7" s="345" t="inlineStr">
        <is>
          <t>PLANNED</t>
        </is>
      </c>
    </row>
    <row r="8" ht="15" customHeight="1" s="186">
      <c r="A8" s="185" t="inlineStr">
        <is>
          <t>DM - Dev</t>
        </is>
      </c>
      <c r="B8" s="185" t="inlineStr">
        <is>
          <t>Tailwind batch 16: admin, widgets, delivery/standard, campaigns/[id], design-system</t>
        </is>
      </c>
      <c r="C8" s="185" t="n">
        <v>5</v>
      </c>
      <c r="D8" s="185" t="n">
        <v>1200</v>
      </c>
      <c r="E8" s="345" t="inlineStr">
        <is>
          <t>PLANNED</t>
        </is>
      </c>
    </row>
    <row r="9" ht="15" customHeight="1" s="186">
      <c r="A9" s="185" t="inlineStr">
        <is>
          <t>NK - Nisha</t>
        </is>
      </c>
      <c r="B9" s="185" t="inlineStr">
        <is>
          <t>Tailwind batch 17: register, shipping-profiles/[id], shipments, page.tsx, auth/layout</t>
        </is>
      </c>
      <c r="C9" s="185" t="n">
        <v>5</v>
      </c>
      <c r="D9" s="185" t="n">
        <v>1200</v>
      </c>
      <c r="E9" s="345" t="inlineStr">
        <is>
          <t>PLANNED</t>
        </is>
      </c>
    </row>
    <row r="10" ht="15" customHeight="1" s="186">
      <c r="A10" s="185" t="inlineStr">
        <is>
          <t>VS - Vikram</t>
        </is>
      </c>
      <c r="B10" s="185" t="inlineStr">
        <is>
          <t>Tailwind batch 18: integrations, stores, payments, admin/shops/[id], activity</t>
        </is>
      </c>
      <c r="C10" s="185" t="n">
        <v>5</v>
      </c>
      <c r="D10" s="185" t="n">
        <v>1000</v>
      </c>
      <c r="E10" s="345" t="inlineStr">
        <is>
          <t>PLANNED</t>
        </is>
      </c>
    </row>
    <row r="11" ht="15" customHeight="1" s="186">
      <c r="A11" s="185" t="inlineStr">
        <is>
          <t>KS - Kavitha</t>
        </is>
      </c>
      <c r="B11" s="185" t="inlineStr">
        <is>
          <t>Platform adapter unit tests: Shopify, WooCommerce, Magento, registry</t>
        </is>
      </c>
      <c r="C11" s="185" t="n">
        <v>4</v>
      </c>
      <c r="D11" s="185" t="n">
        <v>3600</v>
      </c>
      <c r="E11" s="345" t="inlineStr">
        <is>
          <t>PLANNED</t>
        </is>
      </c>
    </row>
    <row r="12" ht="15" customHeight="1" s="186">
      <c r="A12" s="185" t="inlineStr">
        <is>
          <t>AM - Aisha</t>
        </is>
      </c>
      <c r="B12" s="185" t="inlineStr">
        <is>
          <t>Custom platform adapter (API key auth, field mapping) + generic webhook route</t>
        </is>
      </c>
      <c r="C12" s="185" t="n">
        <v>4</v>
      </c>
      <c r="D12" s="185" t="n">
        <v>1600</v>
      </c>
      <c r="E12" s="345" t="inlineStr">
        <is>
          <t>PLANNED</t>
        </is>
      </c>
    </row>
    <row r="13" ht="15" customHeight="1" s="186">
      <c r="A13" s="292" t="inlineStr">
        <is>
          <t>TOTALS</t>
        </is>
      </c>
      <c r="C13" s="185">
        <f>SUM(C4:C12)</f>
        <v/>
      </c>
      <c r="D13" s="185">
        <f>SUM(D4:D12)</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FF4472C4"/>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185" min="1" max="1"/>
    <col width="10" customWidth="1" style="185" min="2" max="2"/>
    <col width="40" customWidth="1" style="185" min="3" max="3"/>
    <col width="60" customWidth="1" style="185" min="4" max="4"/>
    <col width="12" customWidth="1" style="185" min="5" max="5"/>
    <col width="10" customWidth="1" style="185" min="6" max="6"/>
  </cols>
  <sheetData>
    <row r="1" ht="17.25" customHeight="1" s="186">
      <c r="A1" s="346" t="inlineStr">
        <is>
          <t>Sprint 3.7 Plan — Auth Actions, Core Tests, Shopify TODOs &amp; Deep Tailwind</t>
        </is>
      </c>
    </row>
    <row r="3" ht="15" customHeight="1" s="186">
      <c r="A3" s="347" t="inlineStr">
        <is>
          <t>Agent</t>
        </is>
      </c>
      <c r="B3" s="347" t="inlineStr">
        <is>
          <t>Assignee</t>
        </is>
      </c>
      <c r="C3" s="347" t="inlineStr">
        <is>
          <t>Task</t>
        </is>
      </c>
      <c r="D3" s="347" t="inlineStr">
        <is>
          <t>Deliverables</t>
        </is>
      </c>
      <c r="E3" s="347" t="inlineStr">
        <is>
          <t>Est. Lines</t>
        </is>
      </c>
      <c r="F3" s="347" t="inlineStr">
        <is>
          <t>Priority</t>
        </is>
      </c>
    </row>
    <row r="4" ht="23.25" customHeight="1" s="186">
      <c r="A4" s="221" t="inlineStr">
        <is>
          <t>AR (CTO)</t>
        </is>
      </c>
      <c r="B4" s="221" t="inlineStr">
        <is>
          <t>Arjun</t>
        </is>
      </c>
      <c r="C4" s="221" t="inlineStr">
        <is>
          <t>ADR-017 + Auth Actions Architecture</t>
        </is>
      </c>
      <c r="D4" s="221" t="inlineStr">
        <is>
          <t>ADR-017 auth-actions design, dashboard auth-actions.ts real implementation (login/register/forgot-password with API client)</t>
        </is>
      </c>
      <c r="E4" s="221" t="inlineStr">
        <is>
          <t>~800</t>
        </is>
      </c>
      <c r="F4" s="221" t="inlineStr">
        <is>
          <t>P0</t>
        </is>
      </c>
    </row>
    <row r="5" ht="23.25" customHeight="1" s="186">
      <c r="A5" s="221" t="inlineStr">
        <is>
          <t>RG (Backend Lead)</t>
        </is>
      </c>
      <c r="B5" s="221" t="inlineStr">
        <is>
          <t>Rohan</t>
        </is>
      </c>
      <c r="C5" s="221" t="inlineStr">
        <is>
          <t>Core module tests: tracking, labels, monitoring</t>
        </is>
      </c>
      <c r="D5" s="221" t="inlineStr">
        <is>
          <t>tracking/__tests__/*.test.ts, labels/__tests__/*.test.ts, monitoring/__tests__/*.test.ts</t>
        </is>
      </c>
      <c r="E5" s="221" t="inlineStr">
        <is>
          <t>~2,400</t>
        </is>
      </c>
      <c r="F5" s="221" t="inlineStr">
        <is>
          <t>P0</t>
        </is>
      </c>
    </row>
    <row r="6" ht="23.25" customHeight="1" s="186">
      <c r="A6" s="221" t="inlineStr">
        <is>
          <t>SP (Full-stack)</t>
        </is>
      </c>
      <c r="B6" s="221" t="inlineStr">
        <is>
          <t>Sanya</t>
        </is>
      </c>
      <c r="C6" s="221" t="inlineStr">
        <is>
          <t>Core module tests: drivers, orders, routes, zones</t>
        </is>
      </c>
      <c r="D6" s="221" t="inlineStr">
        <is>
          <t>drivers/__tests__/*.test.ts, orders/__tests__/*.test.ts, routes/__tests__/*.test.ts, zones/__tests__/*.test.ts</t>
        </is>
      </c>
      <c r="E6" s="221" t="inlineStr">
        <is>
          <t>~3,200</t>
        </is>
      </c>
      <c r="F6" s="221" t="inlineStr">
        <is>
          <t>P0</t>
        </is>
      </c>
    </row>
    <row r="7" ht="23.25" customHeight="1" s="186">
      <c r="A7" s="221" t="inlineStr">
        <is>
          <t>PK (Sr. Backend)</t>
        </is>
      </c>
      <c r="B7" s="221" t="inlineStr">
        <is>
          <t>Priya</t>
        </is>
      </c>
      <c r="C7" s="221" t="inlineStr">
        <is>
          <t>Shopify app TODO fixes + shipping-profiles tests</t>
        </is>
      </c>
      <c r="D7" s="221" t="inlineStr">
        <is>
          <t>shopify-app webhooks.tsx fixes (user ID mapping, shop config pickup, order DB fetch), shipping-profiles/__tests__/*.test.ts</t>
        </is>
      </c>
      <c r="E7" s="221" t="inlineStr">
        <is>
          <t>~1,800</t>
        </is>
      </c>
      <c r="F7" s="221" t="inlineStr">
        <is>
          <t>P0</t>
        </is>
      </c>
    </row>
    <row r="8" ht="23.25" customHeight="1" s="186">
      <c r="A8" s="221" t="inlineStr">
        <is>
          <t>AM (Integration)</t>
        </is>
      </c>
      <c r="B8" s="221" t="inlineStr">
        <is>
          <t>Aisha</t>
        </is>
      </c>
      <c r="C8" s="221" t="inlineStr">
        <is>
          <t>Core module tests: integrations, events, push, shops</t>
        </is>
      </c>
      <c r="D8" s="221" t="inlineStr">
        <is>
          <t>integrations/__tests__/*.test.ts, events/__tests__/*.test.ts, push/__tests__/*.test.ts, shops/__tests__/*.test.ts</t>
        </is>
      </c>
      <c r="E8" s="221" t="inlineStr">
        <is>
          <t>~3,000</t>
        </is>
      </c>
      <c r="F8" s="221" t="inlineStr">
        <is>
          <t>P0</t>
        </is>
      </c>
    </row>
    <row r="9" ht="23.25" customHeight="1" s="186">
      <c r="A9" s="221" t="inlineStr">
        <is>
          <t>KS (QA Lead)</t>
        </is>
      </c>
      <c r="B9" s="221" t="inlineStr">
        <is>
          <t>Kavitha</t>
        </is>
      </c>
      <c r="C9" s="221" t="inlineStr">
        <is>
          <t>Core module tests: migration + E2E platform adapter flow test</t>
        </is>
      </c>
      <c r="D9" s="221" t="inlineStr">
        <is>
          <t>migration/__tests__/*.test.ts, platforms/__tests__/e2e-platform-flow.test.ts (Shopify→WooCommerce→Magento→Custom full flow)</t>
        </is>
      </c>
      <c r="E9" s="221" t="inlineStr">
        <is>
          <t>~2,200</t>
        </is>
      </c>
      <c r="F9" s="221" t="inlineStr">
        <is>
          <t>P1</t>
        </is>
      </c>
    </row>
    <row r="10" ht="23.25" customHeight="1" s="186">
      <c r="A10" s="221" t="inlineStr">
        <is>
          <t>DM (Frontend)</t>
        </is>
      </c>
      <c r="B10" s="221" t="inlineStr">
        <is>
          <t>Deepak</t>
        </is>
      </c>
      <c r="C10" s="221" t="inlineStr">
        <is>
          <t>Tailwind Batch 19 (5 pages, 5+ styles)</t>
        </is>
      </c>
      <c r="D10" s="221" t="inlineStr">
        <is>
          <t>admin/design-system, widgets, page.tsx (home), drivers, campaigns/[id]</t>
        </is>
      </c>
      <c r="E10" s="221" t="inlineStr">
        <is>
          <t>~600</t>
        </is>
      </c>
      <c r="F10" s="221" t="inlineStr">
        <is>
          <t>P1</t>
        </is>
      </c>
    </row>
    <row r="11" ht="23.25" customHeight="1" s="186">
      <c r="A11" s="221" t="inlineStr">
        <is>
          <t>NK (Frontend Lead)</t>
        </is>
      </c>
      <c r="B11" s="221" t="inlineStr">
        <is>
          <t>Neha</t>
        </is>
      </c>
      <c r="C11" s="221" t="inlineStr">
        <is>
          <t>Tailwind Batch 20 (5 pages, 5+ styles)</t>
        </is>
      </c>
      <c r="D11" s="221" t="inlineStr">
        <is>
          <t>(auth)/layout, shipments, (auth)/register, admin/shops/[id], admin/page</t>
        </is>
      </c>
      <c r="E11" s="221" t="inlineStr">
        <is>
          <t>~500</t>
        </is>
      </c>
      <c r="F11" s="221" t="inlineStr">
        <is>
          <t>P1</t>
        </is>
      </c>
    </row>
    <row r="12" ht="23.25" customHeight="1" s="186">
      <c r="A12" s="221" t="inlineStr">
        <is>
          <t>VS (Component Dev)</t>
        </is>
      </c>
      <c r="B12" s="221" t="inlineStr">
        <is>
          <t>Vikram</t>
        </is>
      </c>
      <c r="C12" s="221" t="inlineStr">
        <is>
          <t>Tailwind Batch 21 (5 pages, 5+ styles)</t>
        </is>
      </c>
      <c r="D12" s="221" t="inlineStr">
        <is>
          <t>activity, widget-config, routes/page, routes/[id], orders/local</t>
        </is>
      </c>
      <c r="E12" s="221" t="inlineStr">
        <is>
          <t>~500</t>
        </is>
      </c>
      <c r="F12" s="221" t="inlineStr">
        <is>
          <t>P1</t>
        </is>
      </c>
    </row>
    <row r="14" ht="15" customHeight="1" s="186">
      <c r="A14" s="292" t="inlineStr">
        <is>
          <t>SPRINT 3.7 TOTALS</t>
        </is>
      </c>
      <c r="C14" s="185" t="inlineStr">
        <is>
          <t>Auth actions, 14 core module test suites, 4 Shopify TODO fixes, 15 Tailwind pages</t>
        </is>
      </c>
      <c r="E14" s="185" t="inlineStr">
        <is>
          <t>~15,000</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E74C3C"/>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185" min="1" max="1"/>
    <col width="10" customWidth="1" style="185" min="2" max="2"/>
    <col width="42" customWidth="1" style="185" min="3" max="3"/>
    <col width="65" customWidth="1" style="185" min="4" max="4"/>
    <col width="12" customWidth="1" style="185" min="5" max="5"/>
    <col width="10" customWidth="1" style="185" min="6" max="6"/>
  </cols>
  <sheetData>
    <row r="1" ht="17.25" customHeight="1" s="186">
      <c r="A1" s="348" t="inlineStr">
        <is>
          <t>Sprint 3.8 Plan — Error Boundaries, Security, Route Tests &amp; Tailwind Final</t>
        </is>
      </c>
    </row>
    <row r="3" ht="15" customHeight="1" s="186">
      <c r="A3" s="349" t="inlineStr">
        <is>
          <t>Agent</t>
        </is>
      </c>
      <c r="B3" s="349" t="inlineStr">
        <is>
          <t>Assignee</t>
        </is>
      </c>
      <c r="C3" s="349" t="inlineStr">
        <is>
          <t>Task</t>
        </is>
      </c>
      <c r="D3" s="349" t="inlineStr">
        <is>
          <t>Deliverables</t>
        </is>
      </c>
      <c r="E3" s="349" t="inlineStr">
        <is>
          <t>Est. Lines</t>
        </is>
      </c>
      <c r="F3" s="349" t="inlineStr">
        <is>
          <t>Priority</t>
        </is>
      </c>
    </row>
    <row r="4" ht="23.25" customHeight="1" s="186">
      <c r="A4" s="221" t="inlineStr">
        <is>
          <t>AR (CTO)</t>
        </is>
      </c>
      <c r="B4" s="221" t="inlineStr">
        <is>
          <t>Arjun</t>
        </is>
      </c>
      <c r="C4" s="221" t="inlineStr">
        <is>
          <t>ADR-018 Error Handling + .gitleaks.toml + Security Fix</t>
        </is>
      </c>
      <c r="D4" s="221" t="inlineStr">
        <is>
          <t>ADR-018 error-handling-resilience.md, .gitleaks.toml config, fix sk_live/sk_test → sk_example in stores + api-keys pages</t>
        </is>
      </c>
      <c r="E4" s="221" t="inlineStr">
        <is>
          <t>~700</t>
        </is>
      </c>
      <c r="F4" s="221" t="inlineStr">
        <is>
          <t>P0</t>
        </is>
      </c>
    </row>
    <row r="5" ht="15" customHeight="1" s="186">
      <c r="A5" s="221" t="inlineStr">
        <is>
          <t>RG (Backend Lead)</t>
        </is>
      </c>
      <c r="B5" s="221" t="inlineStr">
        <is>
          <t>Rohan</t>
        </is>
      </c>
      <c r="C5" s="221" t="inlineStr">
        <is>
          <t>API route tests batch 1: auth, billing, campaigns</t>
        </is>
      </c>
      <c r="D5" s="221" t="inlineStr">
        <is>
          <t>apps/api/src/routes/__tests__/auth.test.ts, billing.test.ts, campaigns.test.ts</t>
        </is>
      </c>
      <c r="E5" s="221" t="inlineStr">
        <is>
          <t>~3,000</t>
        </is>
      </c>
      <c r="F5" s="221" t="inlineStr">
        <is>
          <t>P0</t>
        </is>
      </c>
    </row>
    <row r="6" ht="23.25" customHeight="1" s="186">
      <c r="A6" s="221" t="inlineStr">
        <is>
          <t>SP (Full-stack)</t>
        </is>
      </c>
      <c r="B6" s="221" t="inlineStr">
        <is>
          <t>Sanya</t>
        </is>
      </c>
      <c r="C6" s="221" t="inlineStr">
        <is>
          <t>API route tests batch 2: shipments, collections, integrations</t>
        </is>
      </c>
      <c r="D6" s="221" t="inlineStr">
        <is>
          <t>apps/api/src/routes/__tests__/shipments.test.ts, collections.test.ts, integrations.test.ts</t>
        </is>
      </c>
      <c r="E6" s="221" t="inlineStr">
        <is>
          <t>~3,000</t>
        </is>
      </c>
      <c r="F6" s="221" t="inlineStr">
        <is>
          <t>P0</t>
        </is>
      </c>
    </row>
    <row r="7" ht="23.25" customHeight="1" s="186">
      <c r="A7" s="221" t="inlineStr">
        <is>
          <t>PK (Sr. Backend)</t>
        </is>
      </c>
      <c r="B7" s="221" t="inlineStr">
        <is>
          <t>Priya</t>
        </is>
      </c>
      <c r="C7" s="221" t="inlineStr">
        <is>
          <t>API route tests batch 3: customers, payments, locations</t>
        </is>
      </c>
      <c r="D7" s="221" t="inlineStr">
        <is>
          <t>apps/api/src/routes/__tests__/customers.test.ts, payments.test.ts, locations.test.ts</t>
        </is>
      </c>
      <c r="E7" s="221" t="inlineStr">
        <is>
          <t>~3,000</t>
        </is>
      </c>
      <c r="F7" s="221" t="inlineStr">
        <is>
          <t>P0</t>
        </is>
      </c>
    </row>
    <row r="8" ht="23.25" customHeight="1" s="186">
      <c r="A8" s="221" t="inlineStr">
        <is>
          <t>AM (Integration)</t>
        </is>
      </c>
      <c r="B8" s="221" t="inlineStr">
        <is>
          <t>Aisha</t>
        </is>
      </c>
      <c r="C8" s="221" t="inlineStr">
        <is>
          <t>API route tests batch 4: products, users, shops + webhook routes</t>
        </is>
      </c>
      <c r="D8" s="221" t="inlineStr">
        <is>
          <t>apps/api/src/routes/__tests__/products.test.ts, users.test.ts, shops.test.ts</t>
        </is>
      </c>
      <c r="E8" s="221" t="inlineStr">
        <is>
          <t>~3,000</t>
        </is>
      </c>
      <c r="F8" s="221" t="inlineStr">
        <is>
          <t>P0</t>
        </is>
      </c>
    </row>
    <row r="9" ht="23.25" customHeight="1" s="186">
      <c r="A9" s="221" t="inlineStr">
        <is>
          <t>KS (QA Lead)</t>
        </is>
      </c>
      <c r="B9" s="221" t="inlineStr">
        <is>
          <t>Kavitha</t>
        </is>
      </c>
      <c r="C9" s="221" t="inlineStr">
        <is>
          <t>API route tests batch 5: analytics, admin, support-tickets</t>
        </is>
      </c>
      <c r="D9" s="221" t="inlineStr">
        <is>
          <t>apps/api/src/routes/__tests__/analytics.test.ts, admin.test.ts, support-tickets.test.ts</t>
        </is>
      </c>
      <c r="E9" s="221" t="inlineStr">
        <is>
          <t>~3,000</t>
        </is>
      </c>
      <c r="F9" s="221" t="inlineStr">
        <is>
          <t>P0</t>
        </is>
      </c>
    </row>
    <row r="10" ht="23.25" customHeight="1" s="186">
      <c r="A10" s="221" t="inlineStr">
        <is>
          <t>DM (Frontend)</t>
        </is>
      </c>
      <c r="B10" s="221" t="inlineStr">
        <is>
          <t>Deepak</t>
        </is>
      </c>
      <c r="C10" s="221" t="inlineStr">
        <is>
          <t>Next.js error boundaries + loading states</t>
        </is>
      </c>
      <c r="D10" s="221" t="inlineStr">
        <is>
          <t>error.tsx (root + per-route-group), loading.tsx (root + key pages), not-found.tsx, ErrorBoundary component</t>
        </is>
      </c>
      <c r="E10" s="221" t="inlineStr">
        <is>
          <t>~800</t>
        </is>
      </c>
      <c r="F10" s="221" t="inlineStr">
        <is>
          <t>P0</t>
        </is>
      </c>
    </row>
    <row r="11" ht="23.25" customHeight="1" s="186">
      <c r="A11" s="221" t="inlineStr">
        <is>
          <t>NK (Frontend Lead)</t>
        </is>
      </c>
      <c r="B11" s="221" t="inlineStr">
        <is>
          <t>Neha</t>
        </is>
      </c>
      <c r="C11" s="221" t="inlineStr">
        <is>
          <t>Tailwind Batch 22 (7 pages, 4-style tier)</t>
        </is>
      </c>
      <c r="D11" s="221" t="inlineStr">
        <is>
          <t>settings, routes, routes/create, locations, delivery, calendar, (auth)/login → all ≤1 inline style</t>
        </is>
      </c>
      <c r="E11" s="221" t="inlineStr">
        <is>
          <t>~500</t>
        </is>
      </c>
      <c r="F11" s="221" t="inlineStr">
        <is>
          <t>P1</t>
        </is>
      </c>
    </row>
    <row r="12" ht="23.25" customHeight="1" s="186">
      <c r="A12" s="221" t="inlineStr">
        <is>
          <t>VS (Component Dev)</t>
        </is>
      </c>
      <c r="B12" s="221" t="inlineStr">
        <is>
          <t>Vikram</t>
        </is>
      </c>
      <c r="C12" s="221" t="inlineStr">
        <is>
          <t>Tailwind Batch 23 (7 pages, 3-style tier) + clean dist/</t>
        </is>
      </c>
      <c r="D12" s="221" t="inlineStr">
        <is>
          <t>zones, time-slots, shipping-profiles, orders, notifications, collections, billing → ≤1 inline style; remove tracked dist/ files</t>
        </is>
      </c>
      <c r="E12" s="221" t="inlineStr">
        <is>
          <t>~500</t>
        </is>
      </c>
      <c r="F12" s="221" t="inlineStr">
        <is>
          <t>P1</t>
        </is>
      </c>
    </row>
    <row r="14" ht="15" customHeight="1" s="186">
      <c r="A14" s="292" t="inlineStr">
        <is>
          <t>SPRINT 3.8 TOTALS</t>
        </is>
      </c>
      <c r="C14" s="185" t="inlineStr">
        <is>
          <t>ADR-018, security fix, 15 API route test suites, error boundaries, 14 Tailwind pages, dist cleanup</t>
        </is>
      </c>
      <c r="E14" s="185" t="inlineStr">
        <is>
          <t>~17,500</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8" customWidth="1" style="185" min="1" max="1"/>
    <col width="16" customWidth="1" style="185" min="2" max="2"/>
    <col width="75" customWidth="1" style="185" min="3" max="3"/>
    <col width="10" customWidth="1" style="185" min="4" max="4"/>
    <col width="8" customWidth="1" style="185" min="5" max="5"/>
    <col width="10" customWidth="1" style="185" min="6" max="6"/>
    <col width="12" customWidth="1" style="185" min="7" max="7"/>
  </cols>
  <sheetData>
    <row r="1" ht="15" customHeight="1" s="186">
      <c r="A1" s="344" t="inlineStr">
        <is>
          <t>Agent</t>
        </is>
      </c>
      <c r="B1" s="344" t="inlineStr">
        <is>
          <t>Role</t>
        </is>
      </c>
      <c r="C1" s="344" t="inlineStr">
        <is>
          <t>Task</t>
        </is>
      </c>
      <c r="D1" s="344" t="inlineStr">
        <is>
          <t>Status</t>
        </is>
      </c>
      <c r="E1" s="344" t="inlineStr">
        <is>
          <t>Files</t>
        </is>
      </c>
      <c r="F1" s="344" t="inlineStr">
        <is>
          <t>Lines</t>
        </is>
      </c>
      <c r="G1" s="344" t="inlineStr">
        <is>
          <t>Test Cases</t>
        </is>
      </c>
    </row>
    <row r="2" ht="15" customHeight="1" s="186">
      <c r="A2" s="303" t="inlineStr">
        <is>
          <t>AR</t>
        </is>
      </c>
      <c r="B2" s="303" t="inlineStr">
        <is>
          <t>CTO</t>
        </is>
      </c>
      <c r="C2" s="350" t="inlineStr">
        <is>
          <t>CONTRIBUTING.md + Docker Compose + Dockerfile</t>
        </is>
      </c>
      <c r="D2" s="303" t="inlineStr">
        <is>
          <t>Done</t>
        </is>
      </c>
      <c r="E2" s="303" t="inlineStr">
        <is>
          <t>4</t>
        </is>
      </c>
      <c r="F2" s="303" t="inlineStr">
        <is>
          <t>863</t>
        </is>
      </c>
      <c r="G2" s="303" t="inlineStr">
        <is>
          <t>-</t>
        </is>
      </c>
    </row>
    <row r="3" ht="15" customHeight="1" s="186">
      <c r="A3" s="303" t="inlineStr">
        <is>
          <t>RG</t>
        </is>
      </c>
      <c r="B3" s="303" t="inlineStr">
        <is>
          <t>Backend Lead</t>
        </is>
      </c>
      <c r="C3" s="350" t="inlineStr">
        <is>
          <t>Route tests batch 6: activity-logs, analytics-events, audit, carriers, tracking</t>
        </is>
      </c>
      <c r="D3" s="303" t="inlineStr">
        <is>
          <t>Done</t>
        </is>
      </c>
      <c r="E3" s="303" t="inlineStr">
        <is>
          <t>5</t>
        </is>
      </c>
      <c r="F3" s="303" t="inlineStr">
        <is>
          <t>3974</t>
        </is>
      </c>
      <c r="G3" s="303" t="inlineStr">
        <is>
          <t>241</t>
        </is>
      </c>
    </row>
    <row r="4" ht="15" customHeight="1" s="186">
      <c r="A4" s="303" t="inlineStr">
        <is>
          <t>SP</t>
        </is>
      </c>
      <c r="B4" s="303" t="inlineStr">
        <is>
          <t>Full-stack</t>
        </is>
      </c>
      <c r="C4" s="350" t="inlineStr">
        <is>
          <t>Route tests batch 7: orgs, routes-api, permissions, time-slots, zones</t>
        </is>
      </c>
      <c r="D4" s="303" t="inlineStr">
        <is>
          <t>Done</t>
        </is>
      </c>
      <c r="E4" s="303" t="inlineStr">
        <is>
          <t>5</t>
        </is>
      </c>
      <c r="F4" s="303" t="inlineStr">
        <is>
          <t>3591</t>
        </is>
      </c>
      <c r="G4" s="303" t="inlineStr">
        <is>
          <t>260</t>
        </is>
      </c>
    </row>
    <row r="5" ht="15" customHeight="1" s="186">
      <c r="A5" s="303" t="inlineStr">
        <is>
          <t>PK</t>
        </is>
      </c>
      <c r="B5" s="303" t="inlineStr">
        <is>
          <t>Sr. Backend</t>
        </is>
      </c>
      <c r="C5" s="350" t="inlineStr">
        <is>
          <t>Route tests batch 8: shipping-profiles, calendar-rules, notification-templates, messages, saved-views</t>
        </is>
      </c>
      <c r="D5" s="303" t="inlineStr">
        <is>
          <t>Done</t>
        </is>
      </c>
      <c r="E5" s="303" t="inlineStr">
        <is>
          <t>5</t>
        </is>
      </c>
      <c r="F5" s="303" t="inlineStr">
        <is>
          <t>4060</t>
        </is>
      </c>
      <c r="G5" s="303" t="inlineStr">
        <is>
          <t>211</t>
        </is>
      </c>
    </row>
    <row r="6" ht="15" customHeight="1" s="186">
      <c r="A6" s="303" t="inlineStr">
        <is>
          <t>AM</t>
        </is>
      </c>
      <c r="B6" s="303" t="inlineStr">
        <is>
          <t>Integration</t>
        </is>
      </c>
      <c r="C6" s="350" t="inlineStr">
        <is>
          <t>Route tests batch 9: woocommerce-webhooks, magento-webhooks, custom-webhooks, outbound-webhooks, workflow-orders</t>
        </is>
      </c>
      <c r="D6" s="303" t="inlineStr">
        <is>
          <t>Done</t>
        </is>
      </c>
      <c r="E6" s="303" t="inlineStr">
        <is>
          <t>5</t>
        </is>
      </c>
      <c r="F6" s="303" t="inlineStr">
        <is>
          <t>4229</t>
        </is>
      </c>
      <c r="G6" s="303" t="inlineStr">
        <is>
          <t>227</t>
        </is>
      </c>
    </row>
    <row r="7" ht="15" customHeight="1" s="186">
      <c r="A7" s="303" t="inlineStr">
        <is>
          <t>KS</t>
        </is>
      </c>
      <c r="B7" s="303" t="inlineStr">
        <is>
          <t>QA Lead</t>
        </is>
      </c>
      <c r="C7" s="350" t="inlineStr">
        <is>
          <t>Route tests batch 10: workflow-delivery, workflow-drivers, workflow-executions, pos, widget-config</t>
        </is>
      </c>
      <c r="D7" s="303" t="inlineStr">
        <is>
          <t>Done</t>
        </is>
      </c>
      <c r="E7" s="303" t="inlineStr">
        <is>
          <t>5</t>
        </is>
      </c>
      <c r="F7" s="303" t="inlineStr">
        <is>
          <t>4413</t>
        </is>
      </c>
      <c r="G7" s="303" t="inlineStr">
        <is>
          <t>335</t>
        </is>
      </c>
    </row>
    <row r="8" ht="15" customHeight="1" s="186">
      <c r="A8" s="303" t="inlineStr">
        <is>
          <t>DM</t>
        </is>
      </c>
      <c r="B8" s="303" t="inlineStr">
        <is>
          <t>Frontend</t>
        </is>
      </c>
      <c r="C8" s="350" t="inlineStr">
        <is>
          <t>DatePicker + Pagination UI components</t>
        </is>
      </c>
      <c r="D8" s="303" t="inlineStr">
        <is>
          <t>Done</t>
        </is>
      </c>
      <c r="E8" s="303" t="inlineStr">
        <is>
          <t>3</t>
        </is>
      </c>
      <c r="F8" s="303" t="inlineStr">
        <is>
          <t>520</t>
        </is>
      </c>
      <c r="G8" s="303" t="inlineStr">
        <is>
          <t>-</t>
        </is>
      </c>
    </row>
    <row r="9" ht="15" customHeight="1" s="186">
      <c r="A9" s="303" t="inlineStr">
        <is>
          <t>NK</t>
        </is>
      </c>
      <c r="B9" s="303" t="inlineStr">
        <is>
          <t>Frontend Lead</t>
        </is>
      </c>
      <c r="C9" s="350" t="inlineStr">
        <is>
          <t>Tailwind Batch 24: widgets, drivers, campaigns/[id], design-system, register</t>
        </is>
      </c>
      <c r="D9" s="303" t="inlineStr">
        <is>
          <t>Done</t>
        </is>
      </c>
      <c r="E9" s="303" t="inlineStr">
        <is>
          <t>5</t>
        </is>
      </c>
      <c r="F9" s="303" t="inlineStr">
        <is>
          <t>~</t>
        </is>
      </c>
      <c r="G9" s="303" t="inlineStr">
        <is>
          <t>-</t>
        </is>
      </c>
    </row>
    <row r="10" ht="15" customHeight="1" s="186">
      <c r="A10" s="303" t="inlineStr">
        <is>
          <t>VS</t>
        </is>
      </c>
      <c r="B10" s="303" t="inlineStr">
        <is>
          <t>Component Dev</t>
        </is>
      </c>
      <c r="C10" s="350" t="inlineStr">
        <is>
          <t>Tailwind Batch 25: widget-config, admin, activity, analytics, integrations, admin/users, admin/customers</t>
        </is>
      </c>
      <c r="D10" s="303" t="inlineStr">
        <is>
          <t>Done</t>
        </is>
      </c>
      <c r="E10" s="303" t="inlineStr">
        <is>
          <t>7</t>
        </is>
      </c>
      <c r="F10" s="303" t="inlineStr">
        <is>
          <t>~</t>
        </is>
      </c>
      <c r="G10" s="303"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8" customWidth="1" style="185" min="1" max="1"/>
    <col width="16" customWidth="1" style="185" min="2" max="2"/>
    <col width="80" customWidth="1" style="185" min="3" max="3"/>
    <col width="10" customWidth="1" style="185" min="4" max="4"/>
    <col width="8" customWidth="1" style="185" min="5" max="5"/>
    <col width="10" customWidth="1" style="185" min="6" max="6"/>
    <col width="12" customWidth="1" style="185" min="7" max="7"/>
  </cols>
  <sheetData>
    <row r="1" ht="15" customHeight="1" s="186">
      <c r="A1" s="344" t="inlineStr">
        <is>
          <t>Agent</t>
        </is>
      </c>
      <c r="B1" s="344" t="inlineStr">
        <is>
          <t>Role</t>
        </is>
      </c>
      <c r="C1" s="344" t="inlineStr">
        <is>
          <t>Task</t>
        </is>
      </c>
      <c r="D1" s="344" t="inlineStr">
        <is>
          <t>Status</t>
        </is>
      </c>
      <c r="E1" s="344" t="inlineStr">
        <is>
          <t>Files</t>
        </is>
      </c>
      <c r="F1" s="344" t="inlineStr">
        <is>
          <t>Lines</t>
        </is>
      </c>
      <c r="G1" s="344" t="inlineStr">
        <is>
          <t>Test Cases</t>
        </is>
      </c>
    </row>
    <row r="2" ht="15" customHeight="1" s="186">
      <c r="A2" s="303" t="inlineStr">
        <is>
          <t>AR</t>
        </is>
      </c>
      <c r="B2" s="303" t="inlineStr">
        <is>
          <t>CTO</t>
        </is>
      </c>
      <c r="C2" s="350" t="inlineStr">
        <is>
          <t>ADR-019 CI/CD + LICENSE + CI hardening</t>
        </is>
      </c>
      <c r="D2" s="303" t="inlineStr">
        <is>
          <t>Done</t>
        </is>
      </c>
      <c r="E2" s="303" t="inlineStr">
        <is>
          <t>3</t>
        </is>
      </c>
      <c r="F2" s="303" t="inlineStr">
        <is>
          <t>468</t>
        </is>
      </c>
      <c r="G2" s="303" t="inlineStr">
        <is>
          <t>-</t>
        </is>
      </c>
    </row>
    <row r="3" ht="15" customHeight="1" s="186">
      <c r="A3" s="303" t="inlineStr">
        <is>
          <t>RG</t>
        </is>
      </c>
      <c r="B3" s="303" t="inlineStr">
        <is>
          <t>Backend Lead</t>
        </is>
      </c>
      <c r="C3" s="350" t="inlineStr">
        <is>
          <t>Final 4 route tests: auth-providers, billing-subscriptions, feature-requests, payment-methods</t>
        </is>
      </c>
      <c r="D3" s="303" t="inlineStr">
        <is>
          <t>Done</t>
        </is>
      </c>
      <c r="E3" s="303" t="inlineStr">
        <is>
          <t>4</t>
        </is>
      </c>
      <c r="F3" s="303" t="inlineStr">
        <is>
          <t>3170</t>
        </is>
      </c>
      <c r="G3" s="303" t="inlineStr">
        <is>
          <t>211</t>
        </is>
      </c>
    </row>
    <row r="4" ht="15" customHeight="1" s="186">
      <c r="A4" s="303" t="inlineStr">
        <is>
          <t>SP</t>
        </is>
      </c>
      <c r="B4" s="303" t="inlineStr">
        <is>
          <t>Full-stack</t>
        </is>
      </c>
      <c r="C4" s="350" t="inlineStr">
        <is>
          <t>Integration tests: order-lifecycle, auth-flow, billing-flow, webhook-chain</t>
        </is>
      </c>
      <c r="D4" s="303" t="inlineStr">
        <is>
          <t>Done</t>
        </is>
      </c>
      <c r="E4" s="303" t="inlineStr">
        <is>
          <t>4</t>
        </is>
      </c>
      <c r="F4" s="303" t="inlineStr">
        <is>
          <t>4001</t>
        </is>
      </c>
      <c r="G4" s="303" t="inlineStr">
        <is>
          <t>87</t>
        </is>
      </c>
    </row>
    <row r="5" ht="15" customHeight="1" s="186">
      <c r="A5" s="303" t="inlineStr">
        <is>
          <t>PK</t>
        </is>
      </c>
      <c r="B5" s="303" t="inlineStr">
        <is>
          <t>Sr. Backend</t>
        </is>
      </c>
      <c r="C5" s="350" t="inlineStr">
        <is>
          <t>Shopify app tests: app-index, app-settings, app-webhooks, app-orders</t>
        </is>
      </c>
      <c r="D5" s="303" t="inlineStr">
        <is>
          <t>Done</t>
        </is>
      </c>
      <c r="E5" s="303" t="inlineStr">
        <is>
          <t>4</t>
        </is>
      </c>
      <c r="F5" s="303" t="inlineStr">
        <is>
          <t>3772</t>
        </is>
      </c>
      <c r="G5" s="303" t="inlineStr">
        <is>
          <t>237</t>
        </is>
      </c>
    </row>
    <row r="6" ht="15" customHeight="1" s="186">
      <c r="A6" s="303" t="inlineStr">
        <is>
          <t>AM</t>
        </is>
      </c>
      <c r="B6" s="303" t="inlineStr">
        <is>
          <t>Integration</t>
        </is>
      </c>
      <c r="C6" s="350" t="inlineStr">
        <is>
          <t>Webhook E2E: Shopify, WooCommerce, Magento, cross-platform</t>
        </is>
      </c>
      <c r="D6" s="303" t="inlineStr">
        <is>
          <t>Done</t>
        </is>
      </c>
      <c r="E6" s="303" t="inlineStr">
        <is>
          <t>4</t>
        </is>
      </c>
      <c r="F6" s="303" t="inlineStr">
        <is>
          <t>3676</t>
        </is>
      </c>
      <c r="G6" s="303" t="inlineStr">
        <is>
          <t>133</t>
        </is>
      </c>
    </row>
    <row r="7" ht="15" customHeight="1" s="186">
      <c r="A7" s="303" t="inlineStr">
        <is>
          <t>KS</t>
        </is>
      </c>
      <c r="B7" s="303" t="inlineStr">
        <is>
          <t>QA Lead</t>
        </is>
      </c>
      <c r="C7" s="350" t="inlineStr">
        <is>
          <t>Component unit tests: button, card, badge, input, modal, table, date-picker, pagination, error-boundary</t>
        </is>
      </c>
      <c r="D7" s="303" t="inlineStr">
        <is>
          <t>Done</t>
        </is>
      </c>
      <c r="E7" s="303" t="inlineStr">
        <is>
          <t>9</t>
        </is>
      </c>
      <c r="F7" s="303" t="inlineStr">
        <is>
          <t>4822</t>
        </is>
      </c>
      <c r="G7" s="303" t="inlineStr">
        <is>
          <t>200+</t>
        </is>
      </c>
    </row>
    <row r="8" ht="15" customHeight="1" s="186">
      <c r="A8" s="303" t="inlineStr">
        <is>
          <t>DM</t>
        </is>
      </c>
      <c r="B8" s="303" t="inlineStr">
        <is>
          <t>Frontend</t>
        </is>
      </c>
      <c r="C8" s="350" t="inlineStr">
        <is>
          <t>6 new UI components: Breadcrumb, Avatar, Switch, Checkbox, Alert, Progress</t>
        </is>
      </c>
      <c r="D8" s="303" t="inlineStr">
        <is>
          <t>Done</t>
        </is>
      </c>
      <c r="E8" s="303" t="inlineStr">
        <is>
          <t>7</t>
        </is>
      </c>
      <c r="F8" s="303" t="inlineStr">
        <is>
          <t>559</t>
        </is>
      </c>
      <c r="G8" s="303" t="inlineStr">
        <is>
          <t>-</t>
        </is>
      </c>
    </row>
    <row r="9" ht="15" customHeight="1" s="186">
      <c r="A9" s="303" t="inlineStr">
        <is>
          <t>NK</t>
        </is>
      </c>
      <c r="B9" s="303" t="inlineStr">
        <is>
          <t>Frontend Lead</t>
        </is>
      </c>
      <c r="C9" s="350" t="inlineStr">
        <is>
          <t>Tailwind Batch 26: drivers, widgets, campaigns/[id], design-system, register</t>
        </is>
      </c>
      <c r="D9" s="303" t="inlineStr">
        <is>
          <t>Done</t>
        </is>
      </c>
      <c r="E9" s="303" t="inlineStr">
        <is>
          <t>5</t>
        </is>
      </c>
      <c r="F9" s="303" t="inlineStr">
        <is>
          <t>~</t>
        </is>
      </c>
      <c r="G9" s="303" t="inlineStr">
        <is>
          <t>-</t>
        </is>
      </c>
    </row>
    <row r="10" ht="15" customHeight="1" s="186">
      <c r="A10" s="303" t="inlineStr">
        <is>
          <t>VS</t>
        </is>
      </c>
      <c r="B10" s="303" t="inlineStr">
        <is>
          <t>Component Dev</t>
        </is>
      </c>
      <c r="C10" s="350" t="inlineStr">
        <is>
          <t>Tailwind Batch 27: routes, locations, delivery, calendar, login, orders/local, routes/[id], routes/create</t>
        </is>
      </c>
      <c r="D10" s="303" t="inlineStr">
        <is>
          <t>Done</t>
        </is>
      </c>
      <c r="E10" s="303" t="inlineStr">
        <is>
          <t>8</t>
        </is>
      </c>
      <c r="F10" s="303" t="inlineStr">
        <is>
          <t>~</t>
        </is>
      </c>
      <c r="G10" s="303"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8" customWidth="1" style="185" min="1" max="1"/>
    <col width="16" customWidth="1" style="185" min="2" max="2"/>
    <col width="75" customWidth="1" style="185" min="3" max="3"/>
    <col width="12" customWidth="1" style="185" min="4" max="4"/>
    <col width="45" customWidth="1" style="185" min="5" max="5"/>
  </cols>
  <sheetData>
    <row r="1" ht="15" customHeight="1" s="186">
      <c r="A1" s="344" t="inlineStr">
        <is>
          <t>Agent</t>
        </is>
      </c>
      <c r="B1" s="344" t="inlineStr">
        <is>
          <t>Role</t>
        </is>
      </c>
      <c r="C1" s="344" t="inlineStr">
        <is>
          <t>Task</t>
        </is>
      </c>
      <c r="D1" s="344" t="inlineStr">
        <is>
          <t>Status</t>
        </is>
      </c>
      <c r="E1" s="344" t="inlineStr">
        <is>
          <t>Deliverables</t>
        </is>
      </c>
    </row>
    <row r="2" ht="15" customHeight="1" s="186">
      <c r="A2" s="303" t="inlineStr">
        <is>
          <t>AR</t>
        </is>
      </c>
      <c r="B2" s="303" t="inlineStr">
        <is>
          <t>CTO</t>
        </is>
      </c>
      <c r="C2" s="350" t="inlineStr">
        <is>
          <t>ADR-020 docs architecture + Fumadocs scaffold + AI search config</t>
        </is>
      </c>
      <c r="D2" s="303" t="inlineStr">
        <is>
          <t>Planned</t>
        </is>
      </c>
      <c r="E2" s="350" t="inlineStr">
        <is>
          <t>ADR-020, apps/docs scaffold</t>
        </is>
      </c>
    </row>
    <row r="3" ht="15" customHeight="1" s="186">
      <c r="A3" s="303" t="inlineStr">
        <is>
          <t>RG</t>
        </is>
      </c>
      <c r="B3" s="303" t="inlineStr">
        <is>
          <t>Backend Lead</t>
        </is>
      </c>
      <c r="C3" s="350" t="inlineStr">
        <is>
          <t>API reference: OpenAPI spec cleanup + 73 endpoint doc pages</t>
        </is>
      </c>
      <c r="D3" s="303" t="inlineStr">
        <is>
          <t>Planned</t>
        </is>
      </c>
      <c r="E3" s="350" t="inlineStr">
        <is>
          <t>openapi.json, route docs</t>
        </is>
      </c>
    </row>
    <row r="4" ht="15" customHeight="1" s="186">
      <c r="A4" s="303" t="inlineStr">
        <is>
          <t>SP</t>
        </is>
      </c>
      <c r="B4" s="303" t="inlineStr">
        <is>
          <t>Full-stack</t>
        </is>
      </c>
      <c r="C4" s="350" t="inlineStr">
        <is>
          <t>Getting Started + Architecture + Self-Hosting guides (MDX)</t>
        </is>
      </c>
      <c r="D4" s="303" t="inlineStr">
        <is>
          <t>Planned</t>
        </is>
      </c>
      <c r="E4" s="350" t="inlineStr">
        <is>
          <t>3 MDX guides, env ref</t>
        </is>
      </c>
    </row>
    <row r="5" ht="15" customHeight="1" s="186">
      <c r="A5" s="303" t="inlineStr">
        <is>
          <t>PK</t>
        </is>
      </c>
      <c r="B5" s="303" t="inlineStr">
        <is>
          <t>Sr. Backend</t>
        </is>
      </c>
      <c r="C5" s="350" t="inlineStr">
        <is>
          <t>SDK scaffold: packages/sdk auto-generated TypeScript client</t>
        </is>
      </c>
      <c r="D5" s="303" t="inlineStr">
        <is>
          <t>Planned</t>
        </is>
      </c>
      <c r="E5" s="350" t="inlineStr">
        <is>
          <t>packages/sdk package</t>
        </is>
      </c>
    </row>
    <row r="6" ht="15" customHeight="1" s="186">
      <c r="A6" s="303" t="inlineStr">
        <is>
          <t>AM</t>
        </is>
      </c>
      <c r="B6" s="303" t="inlineStr">
        <is>
          <t>Integration</t>
        </is>
      </c>
      <c r="C6" s="350" t="inlineStr">
        <is>
          <t>Platform adapter guides (Shopify/WooCommerce/Magento/Custom)</t>
        </is>
      </c>
      <c r="D6" s="303" t="inlineStr">
        <is>
          <t>Planned</t>
        </is>
      </c>
      <c r="E6" s="350" t="inlineStr">
        <is>
          <t>4 platform MDX files</t>
        </is>
      </c>
    </row>
    <row r="7" ht="15" customHeight="1" s="186">
      <c r="A7" s="303" t="inlineStr">
        <is>
          <t>KS</t>
        </is>
      </c>
      <c r="B7" s="303" t="inlineStr">
        <is>
          <t>QA Lead</t>
        </is>
      </c>
      <c r="C7" s="350" t="inlineStr">
        <is>
          <t>Testing guide + Contributing guide + ADR browser section</t>
        </is>
      </c>
      <c r="D7" s="303" t="inlineStr">
        <is>
          <t>Planned</t>
        </is>
      </c>
      <c r="E7" s="350" t="inlineStr">
        <is>
          <t>Testing guide, ADR config</t>
        </is>
      </c>
    </row>
    <row r="8" ht="15" customHeight="1" s="186">
      <c r="A8" s="303" t="inlineStr">
        <is>
          <t>DM</t>
        </is>
      </c>
      <c r="B8" s="303" t="inlineStr">
        <is>
          <t>Frontend</t>
        </is>
      </c>
      <c r="C8" s="350" t="inlineStr">
        <is>
          <t>Docs theme: dark-first design, landing page, navigation, search</t>
        </is>
      </c>
      <c r="D8" s="303" t="inlineStr">
        <is>
          <t>Planned</t>
        </is>
      </c>
      <c r="E8" s="350" t="inlineStr">
        <is>
          <t>Custom theme, layout</t>
        </is>
      </c>
    </row>
    <row r="9" ht="15" customHeight="1" s="186">
      <c r="A9" s="303" t="inlineStr">
        <is>
          <t>NK</t>
        </is>
      </c>
      <c r="B9" s="303" t="inlineStr">
        <is>
          <t>Frontend Lead</t>
        </is>
      </c>
      <c r="C9" s="350" t="inlineStr">
        <is>
          <t>Component gallery: 23 components with live previews + props</t>
        </is>
      </c>
      <c r="D9" s="303" t="inlineStr">
        <is>
          <t>Planned</t>
        </is>
      </c>
      <c r="E9" s="350" t="inlineStr">
        <is>
          <t>23 component pages</t>
        </is>
      </c>
    </row>
    <row r="10" ht="15" customHeight="1" s="186">
      <c r="A10" s="303" t="inlineStr">
        <is>
          <t>VS</t>
        </is>
      </c>
      <c r="B10" s="303" t="inlineStr">
        <is>
          <t>Component Dev</t>
        </is>
      </c>
      <c r="C10" s="350" t="inlineStr">
        <is>
          <t>Workflow engine + notification + billing/RBAC guides</t>
        </is>
      </c>
      <c r="D10" s="303" t="inlineStr">
        <is>
          <t>Planned</t>
        </is>
      </c>
      <c r="E10" s="350" t="inlineStr">
        <is>
          <t>5+ MDX guide files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185" min="1" max="1"/>
    <col width="45" customWidth="1" style="185" min="2" max="2"/>
    <col width="65" customWidth="1" style="185" min="3" max="3"/>
    <col width="18" customWidth="1" style="185" min="4" max="4"/>
  </cols>
  <sheetData>
    <row r="1" ht="17.25" customHeight="1" s="186">
      <c r="A1" s="351" t="inlineStr">
        <is>
          <t>Sprint 4.2 — DX Polish, SDK Tests, Seed Data &amp; Driver App Build-Out</t>
        </is>
      </c>
    </row>
    <row r="2" ht="15" customHeight="1" s="186">
      <c r="A2" s="352" t="inlineStr">
        <is>
          <t>Theme: Make the monorepo bootable, SDK production-ready, seed data for demo, driver app screens</t>
        </is>
      </c>
    </row>
    <row r="3" ht="15" customHeight="1" s="186">
      <c r="A3" s="353" t="inlineStr">
        <is>
          <t>Agent</t>
        </is>
      </c>
      <c r="B3" s="353" t="inlineStr">
        <is>
          <t>Assignment</t>
        </is>
      </c>
      <c r="C3" s="353" t="inlineStr">
        <is>
          <t>Deliverables</t>
        </is>
      </c>
      <c r="D3" s="353" t="inlineStr">
        <is>
          <t>Skill(s)</t>
        </is>
      </c>
    </row>
    <row r="4" ht="60" customHeight="1" s="186">
      <c r="A4" s="354" t="inlineStr">
        <is>
          <t>AR - Aarav (CTO)</t>
        </is>
      </c>
      <c r="B4" s="354" t="inlineStr">
        <is>
          <t>ADR-021 DX &amp; Monorepo Bootability + turbo.json tuning</t>
        </is>
      </c>
      <c r="C4" s="354" t="inlineStr">
        <is>
          <t>ADR-021 (~400 lines), updated turbo.json with proper pipeline (build/dev/lint/test/typecheck/db:generate), workspace package.json fixes, tsconfig references cleanup</t>
        </is>
      </c>
      <c r="D4" s="354" t="inlineStr">
        <is>
          <t>system-design</t>
        </is>
      </c>
    </row>
    <row r="5" ht="60" customHeight="1" s="186">
      <c r="A5" s="355" t="inlineStr">
        <is>
          <t>RG - Raj (Backend Lead)</t>
        </is>
      </c>
      <c r="B5" s="355" t="inlineStr">
        <is>
          <t>Database seed scripts + .env.example validation</t>
        </is>
      </c>
      <c r="C5" s="355" t="inlineStr">
        <is>
          <t>packages/db/src/seed.ts (demo data: 3 orgs, 10 users, 50 orders, 20 drivers, 5 zones, sample shipments), seed command in package.json, .env.example audit with all required vars documented</t>
        </is>
      </c>
      <c r="D5" s="355" t="inlineStr">
        <is>
          <t>system-design</t>
        </is>
      </c>
    </row>
    <row r="6" ht="60" customHeight="1" s="186">
      <c r="A6" s="354" t="inlineStr">
        <is>
          <t>PK - Priya (Sr. Backend)</t>
        </is>
      </c>
      <c r="B6" s="354" t="inlineStr">
        <is>
          <t>SDK test suite + publish config</t>
        </is>
      </c>
      <c r="C6" s="354" t="inlineStr">
        <is>
          <t>packages/sdk/__tests__/client.test.ts, orders.test.ts, drivers.test.ts, zones.test.ts, shipments.test.ts, errors.test.ts (~6 test files, 200+ cases), tsup.config.ts for build, package.json publish fields (main/module/types/exports)</t>
        </is>
      </c>
      <c r="D6" s="354" t="inlineStr">
        <is>
          <t>testing-strategy</t>
        </is>
      </c>
    </row>
    <row r="7" ht="60" customHeight="1" s="186">
      <c r="A7" s="355" t="inlineStr">
        <is>
          <t>SP - Sanjay (Full-stack)</t>
        </is>
      </c>
      <c r="B7" s="355" t="inlineStr">
        <is>
          <t>Driver app screens build-out</t>
        </is>
      </c>
      <c r="C7" s="355" t="inlineStr">
        <is>
          <t>Enhanced HomeScreen (stats dashboard), ShipmentListScreen (filterable list with status badges), RouteDetailScreen (turn-by-turn with map placeholder), DeliveryProofScreen (camera + signature capture), shared hooks (useAuth, useApi, useLocation)</t>
        </is>
      </c>
      <c r="D7" s="355" t="inlineStr">
        <is>
          <t>frontend-design</t>
        </is>
      </c>
    </row>
    <row r="8" ht="60" customHeight="1" s="186">
      <c r="A8" s="354" t="inlineStr">
        <is>
          <t>DM - Dev (Frontend)</t>
        </is>
      </c>
      <c r="B8" s="354" t="inlineStr">
        <is>
          <t>Tracking page polish + live map</t>
        </is>
      </c>
      <c r="C8" s="354" t="inlineStr">
        <is>
          <t>TrackingLandingPage redesign (order lookup), ShipmentTracker (status timeline + live map placeholder with Leaflet stub), DriverCard (ETA + driver info), responsive mobile-first layout, Tailwind + dark theme</t>
        </is>
      </c>
      <c r="D8" s="354" t="inlineStr">
        <is>
          <t>frontend-design</t>
        </is>
      </c>
    </row>
    <row r="9" ht="60" customHeight="1" s="186">
      <c r="A9" s="355" t="inlineStr">
        <is>
          <t>NK - Neha (Frontend Lead)</t>
        </is>
      </c>
      <c r="B9" s="355" t="inlineStr">
        <is>
          <t>Dashboard remaining gaps + settings page</t>
        </is>
      </c>
      <c r="C9" s="355" t="inlineStr">
        <is>
          <t>Settings page (/settings with tabs: profile, organization, billing, integrations, API keys), Notification preferences page, Activity feed realtime indicator, remaining page polish (any pages missing loading/error states)</t>
        </is>
      </c>
      <c r="D9" s="355" t="inlineStr">
        <is>
          <t>frontend-design</t>
        </is>
      </c>
    </row>
    <row r="10" ht="60" customHeight="1" s="186">
      <c r="A10" s="354" t="inlineStr">
        <is>
          <t>VS - Vikram (Component Dev)</t>
        </is>
      </c>
      <c r="B10" s="354" t="inlineStr">
        <is>
          <t>New shared components + Storybook-style gallery page</t>
        </is>
      </c>
      <c r="C10" s="354" t="inlineStr">
        <is>
          <t>FileUpload component, Combobox (searchable select), Timeline component, StatusBadge (delivery-specific), CommandPalette (CMD+K), update component index.ts exports, update docs gallery MDX for new components</t>
        </is>
      </c>
      <c r="D10" s="354" t="inlineStr">
        <is>
          <t>frontend-design</t>
        </is>
      </c>
    </row>
    <row r="11" ht="60" customHeight="1" s="186">
      <c r="A11" s="355" t="inlineStr">
        <is>
          <t>KS - Kavitha (QA Lead)</t>
        </is>
      </c>
      <c r="B11" s="355" t="inlineStr">
        <is>
          <t>SDK tests + docs app tests + smoke test script</t>
        </is>
      </c>
      <c r="C11" s="355" t="inlineStr">
        <is>
          <t>apps/docs/__tests__/build.test.ts (docs build smoke), packages/sdk/__tests__/integration.test.ts (mock server E2E), scripts/smoke-test.sh (boots API, hits /health, verifies response), CI workflow update for smoke test step</t>
        </is>
      </c>
      <c r="D11" s="355" t="inlineStr">
        <is>
          <t>testing-strategy</t>
        </is>
      </c>
    </row>
    <row r="12" ht="60" customHeight="1" s="186">
      <c r="A12" s="354" t="inlineStr">
        <is>
          <t>AM - Aisha (Integration)</t>
        </is>
      </c>
      <c r="B12" s="354" t="inlineStr">
        <is>
          <t>Webhook delivery dashboard + integration health page</t>
        </is>
      </c>
      <c r="C12" s="354" t="inlineStr">
        <is>
          <t>Dashboard /integrations/webhooks page (delivery log table, retry button, status indicators), /integrations/health page (integration status cards with last-check timestamps), API routes for webhook delivery history query</t>
        </is>
      </c>
      <c r="D12" s="354" t="inlineStr">
        <is>
          <t>frontend-design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185" min="1" max="1"/>
    <col width="40" customWidth="1" style="185" min="2" max="2"/>
    <col width="70" customWidth="1" style="185" min="3" max="3"/>
    <col width="18" customWidth="1" style="185" min="4" max="4"/>
  </cols>
  <sheetData>
    <row r="1" ht="17.25" customHeight="1" s="186">
      <c r="A1" s="351" t="inlineStr">
        <is>
          <t>Sprint 4.3 — witylogix CLI Deployment Tool + AI Engineer Onboarding</t>
        </is>
      </c>
    </row>
    <row r="2" ht="15" customHeight="1" s="186">
      <c r="A2" s="352" t="inlineStr">
        <is>
          <t>Theme: One-line VM deployment, CLI subcommands, Caddy SSL, AI diagnostics, production Docker Compose</t>
        </is>
      </c>
    </row>
    <row r="3" ht="15" customHeight="1" s="186">
      <c r="A3" s="353" t="inlineStr">
        <is>
          <t>Agent</t>
        </is>
      </c>
      <c r="B3" s="353" t="inlineStr">
        <is>
          <t>Assignment</t>
        </is>
      </c>
      <c r="C3" s="353" t="inlineStr">
        <is>
          <t>Deliverables</t>
        </is>
      </c>
      <c r="D3" s="353" t="inlineStr">
        <is>
          <t>Skill(s)</t>
        </is>
      </c>
    </row>
    <row r="4" ht="64.5" customHeight="1" s="186">
      <c r="A4" s="354" t="inlineStr">
        <is>
          <t>AR - Aarav (CTO)</t>
        </is>
      </c>
      <c r="B4" s="354" t="inlineStr">
        <is>
          <t>ADR-022 CLI Architecture + main entrypoint</t>
        </is>
      </c>
      <c r="C4" s="354" t="inlineStr">
        <is>
          <t>docs/adr/ADR-022-cli-deployment-tool.md (~500 lines), infra/cli/witylogix (main script ~300 lines with subcommand routing, help, version, color output, config loader)</t>
        </is>
      </c>
      <c r="D4" s="354" t="inlineStr">
        <is>
          <t>system-design</t>
        </is>
      </c>
    </row>
    <row r="5" ht="64.5" customHeight="1" s="186">
      <c r="A5" s="355" t="inlineStr">
        <is>
          <t>RG - Raj (Backend)</t>
        </is>
      </c>
      <c r="B5" s="355" t="inlineStr">
        <is>
          <t>deploy + install subcommands</t>
        </is>
      </c>
      <c r="C5" s="355" t="inlineStr">
        <is>
          <t>infra/cli/commands/install.sh (~200 lines — Docker bootstrap, dir creation, image pull), infra/cli/commands/deploy.sh (~300 lines — build/pull, migrate, seed, start, health wait, zero-downtime detection)</t>
        </is>
      </c>
      <c r="D5" s="355" t="inlineStr">
        <is>
          <t>system-design</t>
        </is>
      </c>
    </row>
    <row r="6" ht="64.5" customHeight="1" s="186">
      <c r="A6" s="354" t="inlineStr">
        <is>
          <t>PK - Priya (Sr. Backend)</t>
        </is>
      </c>
      <c r="B6" s="354" t="inlineStr">
        <is>
          <t>backup + restore + upgrade subcommands</t>
        </is>
      </c>
      <c r="C6" s="354" t="inlineStr">
        <is>
          <t>infra/cli/commands/backup.sh (~200 lines — pg_dump with compression, S3 upload optional, rotation), infra/cli/commands/restore.sh (~150 lines), infra/cli/commands/upgrade.sh (~200 lines — pull, migrate, rolling restart)</t>
        </is>
      </c>
      <c r="D6" s="354" t="inlineStr">
        <is>
          <t>system-design</t>
        </is>
      </c>
    </row>
    <row r="7" ht="64.5" customHeight="1" s="186">
      <c r="A7" s="355" t="inlineStr">
        <is>
          <t>SP - Sanjay (Full-stack)</t>
        </is>
      </c>
      <c r="B7" s="355" t="inlineStr">
        <is>
          <t>ssl + env subcommands</t>
        </is>
      </c>
      <c r="C7" s="355" t="inlineStr">
        <is>
          <t>infra/cli/commands/ssl.sh (~200 lines — Caddy config generator, domain setup, cert check), infra/cli/commands/env.sh (~250 lines — interactive .env configurator, validation, secret generation)</t>
        </is>
      </c>
      <c r="D7" s="355" t="inlineStr">
        <is>
          <t>system-design</t>
        </is>
      </c>
    </row>
    <row r="8" ht="64.5" customHeight="1" s="186">
      <c r="A8" s="354" t="inlineStr">
        <is>
          <t>ZR - Zara (AI Engineer)</t>
        </is>
      </c>
      <c r="B8" s="354" t="inlineStr">
        <is>
          <t>ai setup + ai diagnose subcommands</t>
        </is>
      </c>
      <c r="C8" s="354" t="inlineStr">
        <is>
          <t>infra/cli/commands/ai.sh (~300 lines — Claude API key config, log collector, diagnostic prompt builder, structured output parser), infra/cli/templates/ai-diagnose-prompt.txt</t>
        </is>
      </c>
      <c r="D8" s="354" t="inlineStr">
        <is>
          <t>system-design</t>
        </is>
      </c>
    </row>
    <row r="9" ht="64.5" customHeight="1" s="186">
      <c r="A9" s="355" t="inlineStr">
        <is>
          <t>NK - Neha (Frontend Lead)</t>
        </is>
      </c>
      <c r="B9" s="355" t="inlineStr">
        <is>
          <t>dev subcommand</t>
        </is>
      </c>
      <c r="C9" s="355" t="inlineStr">
        <is>
          <t>infra/cli/commands/dev.sh (~250 lines — dependency checker, port allocator, env validator, turbo boot with status table, process manager, graceful shutdown handler)</t>
        </is>
      </c>
      <c r="D9" s="355" t="inlineStr">
        <is>
          <t>system-design</t>
        </is>
      </c>
    </row>
    <row r="10" ht="64.5" customHeight="1" s="186">
      <c r="A10" s="354" t="inlineStr">
        <is>
          <t>DM - Dev (Frontend)</t>
        </is>
      </c>
      <c r="B10" s="354" t="inlineStr">
        <is>
          <t>status + doctor subcommands</t>
        </is>
      </c>
      <c r="C10" s="354" t="inlineStr">
        <is>
          <t>infra/cli/commands/status.sh (~200 lines — HTTP probes for all services, formatted table), infra/cli/commands/doctor.sh (~250 lines — disk/mem/ports/DNS/Docker/connectivity checks, report generator)</t>
        </is>
      </c>
      <c r="D10" s="354" t="inlineStr">
        <is>
          <t>system-design</t>
        </is>
      </c>
    </row>
    <row r="11" ht="64.5" customHeight="1" s="186">
      <c r="A11" s="355" t="inlineStr">
        <is>
          <t>KS - Kavitha (QA Lead)</t>
        </is>
      </c>
      <c r="B11" s="355" t="inlineStr">
        <is>
          <t>CLI tests + init subcommand</t>
        </is>
      </c>
      <c r="C11" s="355" t="inlineStr">
        <is>
          <t>infra/cli/commands/init.sh (~200 lines — contributor setup, deps install, prisma generate, seed, smoke test), infra/cli/__tests__/test-cli.sh (~300 lines — test harness for all subcommands), CI workflow update</t>
        </is>
      </c>
      <c r="D11" s="355" t="inlineStr">
        <is>
          <t>testing-strategy</t>
        </is>
      </c>
    </row>
    <row r="12" ht="64.5" customHeight="1" s="186">
      <c r="A12" s="354" t="inlineStr">
        <is>
          <t>VS - Vikram (Component)</t>
        </is>
      </c>
      <c r="B12" s="354" t="inlineStr">
        <is>
          <t>logs + scale + destroy subcommands</t>
        </is>
      </c>
      <c r="C12" s="354" t="inlineStr">
        <is>
          <t>infra/cli/commands/logs.sh (~150 lines — multi-service log tailing with color), infra/cli/commands/scale.sh (~100 lines — Docker Compose scale wrapper), infra/cli/commands/destroy.sh (~120 lines — clean teardown with confirmation)</t>
        </is>
      </c>
      <c r="D12" s="354" t="inlineStr">
        <is>
          <t>system-design</t>
        </is>
      </c>
    </row>
    <row r="13" ht="64.5" customHeight="1" s="186">
      <c r="A13" s="355" t="inlineStr">
        <is>
          <t>AM - Aisha (Integration)</t>
        </is>
      </c>
      <c r="B13" s="355" t="inlineStr">
        <is>
          <t>Caddy templates + production Docker Compose</t>
        </is>
      </c>
      <c r="C13" s="355" t="inlineStr">
        <is>
          <t>infra/cli/templates/Caddyfile (~80 lines — reverse proxy for api/app/docs with auto-SSL), infra/docker-compose.prod.yml (~200 lines — production-grade with healthchecks, restart policies, resource limits, Caddy service), infra/cli/templates/env.template</t>
        </is>
      </c>
      <c r="D13" s="355" t="inlineStr">
        <is>
          <t>system-design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185" min="1" max="2"/>
    <col width="80" customWidth="1" style="185" min="3" max="3"/>
    <col width="12" customWidth="1" style="185" min="4" max="5"/>
    <col width="10" customWidth="1" style="185" min="6" max="6"/>
  </cols>
  <sheetData>
    <row r="1" ht="17.25" customHeight="1" s="186">
      <c r="A1" s="356" t="inlineStr">
        <is>
          <t>Sprint 4.4 — E2E Testing, Event Bus, Platform Admin &amp; Gap Closure</t>
        </is>
      </c>
    </row>
    <row r="2" ht="15" customHeight="1" s="186">
      <c r="A2" s="357" t="inlineStr">
        <is>
          <t>Planned: 2026-03-10 | Focus: E2E framework, event bus, platform admin, package maturity</t>
        </is>
      </c>
    </row>
    <row r="4" ht="15" customHeight="1" s="186">
      <c r="A4" s="358" t="inlineStr">
        <is>
          <t>Agent</t>
        </is>
      </c>
      <c r="B4" s="358" t="inlineStr">
        <is>
          <t>Role</t>
        </is>
      </c>
      <c r="C4" s="358" t="inlineStr">
        <is>
          <t>Deliverable</t>
        </is>
      </c>
      <c r="D4" s="358" t="inlineStr">
        <is>
          <t>Files (est)</t>
        </is>
      </c>
      <c r="E4" s="358" t="inlineStr">
        <is>
          <t>Lines (est)</t>
        </is>
      </c>
      <c r="F4" s="358" t="inlineStr">
        <is>
          <t>Status</t>
        </is>
      </c>
    </row>
    <row r="5" ht="15" customHeight="1" s="186">
      <c r="A5" s="359" t="inlineStr">
        <is>
          <t>AR (Arjun)</t>
        </is>
      </c>
      <c r="B5" s="359" t="inlineStr">
        <is>
          <t>CTO / Architect</t>
        </is>
      </c>
      <c r="C5" s="359" t="inlineStr">
        <is>
          <t>ADR-023 E2E Testing &amp; Event Bus architecture; Prisma schema additions (authProvider, authSession, platformAdmin, posConfig models)</t>
        </is>
      </c>
      <c r="D5" s="360" t="inlineStr">
        <is>
          <t>3</t>
        </is>
      </c>
      <c r="E5" s="360" t="inlineStr">
        <is>
          <t>~900</t>
        </is>
      </c>
      <c r="F5" s="360" t="inlineStr">
        <is>
          <t>PLANNED</t>
        </is>
      </c>
    </row>
    <row r="6" ht="15" customHeight="1" s="186">
      <c r="A6" s="359" t="inlineStr">
        <is>
          <t>RG (Rohan)</t>
        </is>
      </c>
      <c r="B6" s="359" t="inlineStr">
        <is>
          <t>Backend Lead</t>
        </is>
      </c>
      <c r="C6" s="359" t="inlineStr">
        <is>
          <t>Event Bus with Redis Streams — typed event emitter, pub/sub, event store, replay, dead letter queue</t>
        </is>
      </c>
      <c r="D6" s="360" t="inlineStr">
        <is>
          <t>8</t>
        </is>
      </c>
      <c r="E6" s="360" t="inlineStr">
        <is>
          <t>~2,400</t>
        </is>
      </c>
      <c r="F6" s="360" t="inlineStr">
        <is>
          <t>PLANNED</t>
        </is>
      </c>
    </row>
    <row r="7" ht="15" customHeight="1" s="186">
      <c r="A7" s="359" t="inlineStr">
        <is>
          <t>PK (Priya)</t>
        </is>
      </c>
      <c r="B7" s="359" t="inlineStr">
        <is>
          <t>Sr. Backend</t>
        </is>
      </c>
      <c r="C7" s="359" t="inlineStr">
        <is>
          <t>Auth provider registry core module — provider CRUD, session management, token validation, multi-tenant</t>
        </is>
      </c>
      <c r="D7" s="360" t="inlineStr">
        <is>
          <t>6</t>
        </is>
      </c>
      <c r="E7" s="360" t="inlineStr">
        <is>
          <t>~1,800</t>
        </is>
      </c>
      <c r="F7" s="360" t="inlineStr">
        <is>
          <t>PLANNED</t>
        </is>
      </c>
    </row>
    <row r="8" ht="15" customHeight="1" s="186">
      <c r="A8" s="359" t="inlineStr">
        <is>
          <t>SP (Sanya)</t>
        </is>
      </c>
      <c r="B8" s="359" t="inlineStr">
        <is>
          <t>Full-stack</t>
        </is>
      </c>
      <c r="C8" s="359" t="inlineStr">
        <is>
          <t>Workflow integration triggers — auto-trigger workflows from order/shipment/driver API endpoints + Socket.io events</t>
        </is>
      </c>
      <c r="D8" s="360" t="inlineStr">
        <is>
          <t>5</t>
        </is>
      </c>
      <c r="E8" s="360" t="inlineStr">
        <is>
          <t>~1,500</t>
        </is>
      </c>
      <c r="F8" s="360" t="inlineStr">
        <is>
          <t>PLANNED</t>
        </is>
      </c>
    </row>
    <row r="9" ht="15" customHeight="1" s="186">
      <c r="A9" s="359" t="inlineStr">
        <is>
          <t>ZR (Zara)</t>
        </is>
      </c>
      <c r="B9" s="359" t="inlineStr">
        <is>
          <t>AI Engineer</t>
        </is>
      </c>
      <c r="C9" s="359" t="inlineStr">
        <is>
          <t>AI-powered monitoring — anomaly detection for delivery SLAs, predictive ETA model, alert recommendations engine</t>
        </is>
      </c>
      <c r="D9" s="360" t="inlineStr">
        <is>
          <t>6</t>
        </is>
      </c>
      <c r="E9" s="360" t="inlineStr">
        <is>
          <t>~2,000</t>
        </is>
      </c>
      <c r="F9" s="360" t="inlineStr">
        <is>
          <t>PLANNED</t>
        </is>
      </c>
    </row>
    <row r="10" ht="15" customHeight="1" s="186">
      <c r="A10" s="359" t="inlineStr">
        <is>
          <t>NK (Neha)</t>
        </is>
      </c>
      <c r="B10" s="359" t="inlineStr">
        <is>
          <t>Frontend Lead</t>
        </is>
      </c>
      <c r="C10" s="359" t="inlineStr">
        <is>
          <t>Activity log redesign — real-time filterable event stream page with timeline view, user actions, system events</t>
        </is>
      </c>
      <c r="D10" s="360" t="inlineStr">
        <is>
          <t>3</t>
        </is>
      </c>
      <c r="E10" s="360" t="inlineStr">
        <is>
          <t>~900</t>
        </is>
      </c>
      <c r="F10" s="360" t="inlineStr">
        <is>
          <t>PLANNED</t>
        </is>
      </c>
    </row>
    <row r="11" ht="15" customHeight="1" s="186">
      <c r="A11" s="359" t="inlineStr">
        <is>
          <t>DM (Dhruv)</t>
        </is>
      </c>
      <c r="B11" s="359" t="inlineStr">
        <is>
          <t>Frontend</t>
        </is>
      </c>
      <c r="C11" s="359" t="inlineStr">
        <is>
          <t>Design tokens page — interactive token reference (colors, spacing, typography, shadows) + shadcn/ui component preview gallery</t>
        </is>
      </c>
      <c r="D11" s="360" t="inlineStr">
        <is>
          <t>3</t>
        </is>
      </c>
      <c r="E11" s="360" t="inlineStr">
        <is>
          <t>~1,100</t>
        </is>
      </c>
      <c r="F11" s="360" t="inlineStr">
        <is>
          <t>PLANNED</t>
        </is>
      </c>
    </row>
    <row r="12" ht="15" customHeight="1" s="186">
      <c r="A12" s="359" t="inlineStr">
        <is>
          <t>VS (Vikram)</t>
        </is>
      </c>
      <c r="B12" s="359" t="inlineStr">
        <is>
          <t>Component Dev</t>
        </is>
      </c>
      <c r="C12" s="359" t="inlineStr">
        <is>
          <t>Package maturity — add build scripts (tsup) + test scripts to framework, types, validators, workflows packages; fix exports</t>
        </is>
      </c>
      <c r="D12" s="360" t="inlineStr">
        <is>
          <t>12</t>
        </is>
      </c>
      <c r="E12" s="360" t="inlineStr">
        <is>
          <t>~1,600</t>
        </is>
      </c>
      <c r="F12" s="360" t="inlineStr">
        <is>
          <t>PLANNED</t>
        </is>
      </c>
    </row>
    <row r="13" ht="15" customHeight="1" s="186">
      <c r="A13" s="359" t="inlineStr">
        <is>
          <t>KS (Kavitha)</t>
        </is>
      </c>
      <c r="B13" s="359" t="inlineStr">
        <is>
          <t>QA Lead</t>
        </is>
      </c>
      <c r="C13" s="359" t="inlineStr">
        <is>
          <t>E2E test framework — Playwright setup, page objects, 5 critical flow tests (auth, order CRUD, driver assign, tracking, webhooks)</t>
        </is>
      </c>
      <c r="D13" s="360" t="inlineStr">
        <is>
          <t>10</t>
        </is>
      </c>
      <c r="E13" s="360" t="inlineStr">
        <is>
          <t>~3,000</t>
        </is>
      </c>
      <c r="F13" s="360" t="inlineStr">
        <is>
          <t>PLANNED</t>
        </is>
      </c>
    </row>
    <row r="14" ht="15" customHeight="1" s="186">
      <c r="A14" s="359" t="inlineStr">
        <is>
          <t>AM (Aisha)</t>
        </is>
      </c>
      <c r="B14" s="359" t="inlineStr">
        <is>
          <t>Integration</t>
        </is>
      </c>
      <c r="C14" s="359" t="inlineStr">
        <is>
          <t>Webhook management page redesign + event log viewer page + Shopify workflow bridge (order webhook → workflow trigger)</t>
        </is>
      </c>
      <c r="D14" s="360" t="inlineStr">
        <is>
          <t>5</t>
        </is>
      </c>
      <c r="E14" s="360" t="inlineStr">
        <is>
          <t>~1,800</t>
        </is>
      </c>
      <c r="F14" s="360" t="inlineStr">
        <is>
          <t>PLANNED</t>
        </is>
      </c>
    </row>
    <row r="16" ht="15" customHeight="1" s="186">
      <c r="A16" s="361" t="inlineStr">
        <is>
          <t>TOTALS</t>
        </is>
      </c>
      <c r="D16" s="362" t="inlineStr">
        <is>
          <t>~61 files</t>
        </is>
      </c>
      <c r="E16" s="362" t="inlineStr">
        <is>
          <t>~17,000 lines</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8" customWidth="1" style="185" min="1" max="1"/>
    <col width="16" customWidth="1" style="185" min="2" max="2"/>
    <col width="28" customWidth="1" style="185" min="3" max="3"/>
    <col width="34" customWidth="1" style="185" min="4" max="4"/>
    <col width="36" customWidth="1" style="185" min="5" max="5"/>
    <col width="28" customWidth="1" style="185" min="6" max="6"/>
    <col width="10" customWidth="1" style="185" min="7" max="7"/>
  </cols>
  <sheetData>
    <row r="1" ht="15" customHeight="1" s="186">
      <c r="A1" s="363" t="inlineStr">
        <is>
          <t>Agent</t>
        </is>
      </c>
      <c r="B1" s="363" t="inlineStr">
        <is>
          <t>Role</t>
        </is>
      </c>
      <c r="C1" s="363" t="inlineStr">
        <is>
          <t>Sprint 4.5 Task</t>
        </is>
      </c>
      <c r="D1" s="363" t="inlineStr">
        <is>
          <t>Files/Packages</t>
        </is>
      </c>
      <c r="E1" s="363" t="inlineStr">
        <is>
          <t>Key Deliverables</t>
        </is>
      </c>
      <c r="F1" s="363" t="inlineStr">
        <is>
          <t>Competitive Benchmark</t>
        </is>
      </c>
      <c r="G1" s="363" t="inlineStr">
        <is>
          <t>Status</t>
        </is>
      </c>
    </row>
    <row r="2" ht="57" customHeight="1" s="186">
      <c r="A2" s="364" t="inlineStr">
        <is>
          <t>AR</t>
        </is>
      </c>
      <c r="B2" s="364" t="inlineStr">
        <is>
          <t>CTO / Architect</t>
        </is>
      </c>
      <c r="C2" s="364" t="inlineStr">
        <is>
          <t>Route Timeline Dispatcher Dashboard (Routific-quality)</t>
        </is>
      </c>
      <c r="D2" s="364" t="inlineStr">
        <is>
          <t>apps/dashboard/src/app/(dashboard)/dispatch/, packages/core/src/dispatch/</t>
        </is>
      </c>
      <c r="E2" s="364" t="inlineStr">
        <is>
          <t>Map with color-coded driver routes + timeline view (8am-7pm). Unscheduled/Scheduled toggle. Drag-and-drop route editing. Real-time stats bar (drivers, stops, km, time).</t>
        </is>
      </c>
      <c r="F2" s="364" t="inlineStr">
        <is>
          <t>Routific: 10 color-coded routes, 540 stops, timeline per driver</t>
        </is>
      </c>
      <c r="G2" s="364" t="inlineStr">
        <is>
          <t>PLANNED</t>
        </is>
      </c>
    </row>
    <row r="3" ht="57" customHeight="1" s="186">
      <c r="A3" s="211" t="inlineStr">
        <is>
          <t>NK</t>
        </is>
      </c>
      <c r="B3" s="211" t="inlineStr">
        <is>
          <t>Frontend Lead</t>
        </is>
      </c>
      <c r="C3" s="211" t="inlineStr">
        <is>
          <t>Checkout Date/Time Picker Widget (Pickeasy-quality)</t>
        </is>
      </c>
      <c r="D3" s="211" t="inlineStr">
        <is>
          <t>packages/checkout-widget/, extensions/checkout-ui/</t>
        </is>
      </c>
      <c r="E3" s="211" t="inlineStr">
        <is>
          <t>Embeddable widget: date calendar, time slot grid with capacity indicators, zone-based rate display, blackout dates, cut-off times, zipcode validation, prep time settings.</t>
        </is>
      </c>
      <c r="F3" s="211" t="inlineStr">
        <is>
          <t>Pickeasy: 8K merchants, slot limits, blackout, zip validation, $9.99-49.99</t>
        </is>
      </c>
      <c r="G3" s="211" t="inlineStr">
        <is>
          <t>PLANNED</t>
        </is>
      </c>
    </row>
    <row r="4" ht="57" customHeight="1" s="186">
      <c r="A4" s="364" t="inlineStr">
        <is>
          <t>DM</t>
        </is>
      </c>
      <c r="B4" s="364" t="inlineStr">
        <is>
          <t>Frontend Dev</t>
        </is>
      </c>
      <c r="C4" s="364" t="inlineStr">
        <is>
          <t>Customer Self-Service Portal</t>
        </is>
      </c>
      <c r="D4" s="364" t="inlineStr">
        <is>
          <t>apps/customer-portal/</t>
        </is>
      </c>
      <c r="E4" s="364" t="inlineStr">
        <is>
          <t>Next.js portal: order history with timeline, live tracking, rescheduling flow, delivery preferences (safe place, instructions), driver ratings, notification preferences.</t>
        </is>
      </c>
      <c r="F4" s="364" t="inlineStr">
        <is>
          <t>Route4Me: only platform with self-service portal. First-mover for open-source</t>
        </is>
      </c>
      <c r="G4" s="364" t="inlineStr">
        <is>
          <t>PLANNED</t>
        </is>
      </c>
    </row>
    <row r="5" ht="45.75" customHeight="1" s="186">
      <c r="A5" s="211" t="inlineStr">
        <is>
          <t>RG</t>
        </is>
      </c>
      <c r="B5" s="211" t="inlineStr">
        <is>
          <t>Backend Lead</t>
        </is>
      </c>
      <c r="C5" s="211" t="inlineStr">
        <is>
          <t>Slot Engine API &amp; Capacity Management</t>
        </is>
      </c>
      <c r="D5" s="211" t="inlineStr">
        <is>
          <t>packages/core/src/slots/, apps/api/src/routes/checkout/</t>
        </is>
      </c>
      <c r="E5" s="211" t="inlineStr">
        <is>
          <t>Slot availability API, capacity limits per slot/day, zone-rate calculator, order deadline engine (e.g. Friday pickup by Thu 4pm), cart integration endpoints.</t>
        </is>
      </c>
      <c r="F5" s="211" t="inlineStr">
        <is>
          <t>Pickeasy: order deadlines, daily limits, product-specific slots</t>
        </is>
      </c>
      <c r="G5" s="211" t="inlineStr">
        <is>
          <t>PLANNED</t>
        </is>
      </c>
    </row>
    <row r="6" ht="57" customHeight="1" s="186">
      <c r="A6" s="364" t="inlineStr">
        <is>
          <t>PK</t>
        </is>
      </c>
      <c r="B6" s="364" t="inlineStr">
        <is>
          <t>Sr. Backend</t>
        </is>
      </c>
      <c r="C6" s="364" t="inlineStr">
        <is>
          <t>POD v2: Photo + Signature + QR + Status Timeline</t>
        </is>
      </c>
      <c r="D6" s="364" t="inlineStr">
        <is>
          <t>packages/core/src/pod/, apps/api/src/routes/pod/</t>
        </is>
      </c>
      <c r="E6" s="364" t="inlineStr">
        <is>
          <t>Multi-method POD: photo capture, e-signature pad, QR/barcode scan. Delivery status timeline (Planned → Out for Delivery → Delivered + photo). S3/R2 storage.</t>
        </is>
      </c>
      <c r="F6" s="364" t="inlineStr">
        <is>
          <t>Routific: status timeline with photo. Fleetbase: QR+signature+manual</t>
        </is>
      </c>
      <c r="G6" s="364" t="inlineStr">
        <is>
          <t>PLANNED</t>
        </is>
      </c>
    </row>
    <row r="7" ht="57" customHeight="1" s="186">
      <c r="A7" s="211" t="inlineStr">
        <is>
          <t>SP</t>
        </is>
      </c>
      <c r="B7" s="211" t="inlineStr">
        <is>
          <t>Full-stack</t>
        </is>
      </c>
      <c r="C7" s="211" t="inlineStr">
        <is>
          <t>Customer Notification Engine v2 + SMS/WhatsApp</t>
        </is>
      </c>
      <c r="D7" s="211" t="inlineStr">
        <is>
          <t>packages/core/src/notifications-v2/, apps/api/src/routes/notifications/</t>
        </is>
      </c>
      <c r="E7" s="211" t="inlineStr">
        <is>
          <t>Multi-channel: email + SMS (Twilio) + WhatsApp (Meta Business) + push. Template engine. SMS with tracking link + time window (Routific pattern). Delivery webhooks.</t>
        </is>
      </c>
      <c r="F7" s="211" t="inlineStr">
        <is>
          <t>Routific: SMS with tracking link + time window. ScrollEngine: WhatsApp</t>
        </is>
      </c>
      <c r="G7" s="211" t="inlineStr">
        <is>
          <t>PLANNED</t>
        </is>
      </c>
    </row>
    <row r="8" ht="57" customHeight="1" s="186">
      <c r="A8" s="364" t="inlineStr">
        <is>
          <t>VS</t>
        </is>
      </c>
      <c r="B8" s="364" t="inlineStr">
        <is>
          <t>Component Dev</t>
        </is>
      </c>
      <c r="C8" s="364" t="inlineStr">
        <is>
          <t>Checkout &amp; Dispatch Component Library</t>
        </is>
      </c>
      <c r="D8" s="364" t="inlineStr">
        <is>
          <t>packages/checkout-widget/src/, apps/dashboard/src/components/dispatch/</t>
        </is>
      </c>
      <c r="E8" s="364" t="inlineStr">
        <is>
          <t>Checkout: DatePicker, TimeSlotGrid, ZoneMap, DeliveryOptions, AddressAutocomplete. Dispatch: RouteTimeline, DriverCard, StopMarker, StatsBanner.</t>
        </is>
      </c>
      <c r="F8" s="364" t="inlineStr">
        <is>
          <t>Routific timeline + Pickeasy checkout as UX reference</t>
        </is>
      </c>
      <c r="G8" s="364" t="inlineStr">
        <is>
          <t>PLANNED</t>
        </is>
      </c>
    </row>
    <row r="9" ht="57" customHeight="1" s="186">
      <c r="A9" s="211" t="inlineStr">
        <is>
          <t>KS</t>
        </is>
      </c>
      <c r="B9" s="211" t="inlineStr">
        <is>
          <t>QA Lead</t>
        </is>
      </c>
      <c r="C9" s="211" t="inlineStr">
        <is>
          <t>E2E: Dispatch, Checkout &amp; Customer Portal</t>
        </is>
      </c>
      <c r="D9" s="211" t="inlineStr">
        <is>
          <t>tests/e2e/specs/dispatch/, tests/e2e/specs/checkout/, tests/e2e/specs/portal/</t>
        </is>
      </c>
      <c r="E9" s="211" t="inlineStr">
        <is>
          <t>Playwright suites: dispatch timeline interaction, checkout widget slot selection, customer portal auth + reschedule, POD photo upload, SMS notification delivery.</t>
        </is>
      </c>
      <c r="F9" s="211" t="inlineStr">
        <is>
          <t>Full coverage for all Sprint 4.5 customer-facing features</t>
        </is>
      </c>
      <c r="G9" s="211" t="inlineStr">
        <is>
          <t>PLANNED</t>
        </is>
      </c>
    </row>
    <row r="10" ht="57" customHeight="1" s="186">
      <c r="A10" s="364" t="inlineStr">
        <is>
          <t>AM</t>
        </is>
      </c>
      <c r="B10" s="364" t="inlineStr">
        <is>
          <t>Integration</t>
        </is>
      </c>
      <c r="C10" s="364" t="inlineStr">
        <is>
          <t>Shopify Checkout Extension + Google Maps/Calendar</t>
        </is>
      </c>
      <c r="D10" s="364" t="inlineStr">
        <is>
          <t>extensions/checkout-ui/, packages/core/src/integrations/google/</t>
        </is>
      </c>
      <c r="E10" s="364" t="inlineStr">
        <is>
          <t>Shopify checkout extension with embedded date/time widget. Google Maps for zone visualization. Google Calendar sync for merchant order reminders.</t>
        </is>
      </c>
      <c r="F10" s="364" t="inlineStr">
        <is>
          <t>Pickeasy: Google Maps + Calendar. Zapiet: Shopify certified</t>
        </is>
      </c>
      <c r="G10" s="364" t="inlineStr">
        <is>
          <t>PLANNED</t>
        </is>
      </c>
    </row>
    <row r="11" ht="57" customHeight="1" s="186">
      <c r="A11" s="211" t="inlineStr">
        <is>
          <t>ZR</t>
        </is>
      </c>
      <c r="B11" s="211" t="inlineStr">
        <is>
          <t>AI Engineer</t>
        </is>
      </c>
      <c r="C11" s="211" t="inlineStr">
        <is>
          <t>Smart Slot Recommendation + ML ETA Engine</t>
        </is>
      </c>
      <c r="D11" s="211" t="inlineStr">
        <is>
          <t>packages/core/src/ai-slots/, packages/core/src/ai-eta/</t>
        </is>
      </c>
      <c r="E11" s="211" t="inlineStr">
        <is>
          <t>ML slot recommender: demand prediction, driver availability forecast. Traffic-aware ETA model (start with 3-5 models, target Routific's 179 as long-term goal).</t>
        </is>
      </c>
      <c r="F11" s="211" t="inlineStr">
        <is>
          <t>Routific: 179 ML models. Nobody has AI slot recommendation — first-mover</t>
        </is>
      </c>
      <c r="G11" s="211" t="inlineStr">
        <is>
          <t>PLANNED</t>
        </is>
      </c>
    </row>
    <row r="13" ht="23.25" customHeight="1" s="186">
      <c r="A13" s="365" t="inlineStr">
        <is>
          <t>THEME</t>
        </is>
      </c>
      <c r="B13" s="290" t="inlineStr">
        <is>
          <t>Sprint 4.5: Customer Experience &amp; Checkout Enhancement — Routific-quality dispatcher dashboard, Pickeasy-quality checkout widget, customer self-service portal, POD v2 with status timeline, SMS/WhatsApp notifications, AI slot recommendation engine.</t>
        </is>
      </c>
    </row>
    <row r="14" ht="23.25" customHeight="1" s="186">
      <c r="A14" s="366" t="inlineStr">
        <is>
          <t>BENCHMARKS</t>
        </is>
      </c>
      <c r="B14" s="290" t="inlineStr">
        <is>
          <t>UX: Routific dispatcher timeline + driver app + POD flow + SMS tracking. Checkout: Pickeasy date/time picker + slot capacity + blackout + zip validation. Portal: Route4Me self-service. Notifications: Routific SMS + ScrollEngine WhatsApp.</t>
        </is>
      </c>
    </row>
  </sheetData>
  <mergeCells count="2">
    <mergeCell ref="B14:G14"/>
    <mergeCell ref="B13:G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6" customWidth="1" style="186" min="1" max="1"/>
    <col width="14" customWidth="1" style="186" min="2" max="2"/>
    <col width="42" customWidth="1" style="186" min="3" max="3"/>
    <col width="40" customWidth="1" style="186" min="4" max="4"/>
    <col width="60" customWidth="1" style="186" min="5" max="5"/>
    <col width="14" customWidth="1" style="186" min="6" max="6"/>
    <col width="10" customWidth="1" style="186" min="7" max="7"/>
  </cols>
  <sheetData>
    <row r="1">
      <c r="A1" s="367" t="inlineStr">
        <is>
          <t>Sprint 4.7 — Telematics, Traffic-Aware ETA &amp; Integration Ecosystem</t>
        </is>
      </c>
    </row>
    <row r="2">
      <c r="A2" s="368" t="inlineStr">
        <is>
          <t>Agent</t>
        </is>
      </c>
      <c r="B2" s="368" t="inlineStr">
        <is>
          <t>Role</t>
        </is>
      </c>
      <c r="C2" s="368" t="inlineStr">
        <is>
          <t>Task</t>
        </is>
      </c>
      <c r="D2" s="368" t="inlineStr">
        <is>
          <t>Files/Packages</t>
        </is>
      </c>
      <c r="E2" s="368" t="inlineStr">
        <is>
          <t>Key Deliverables</t>
        </is>
      </c>
      <c r="F2" s="368" t="inlineStr">
        <is>
          <t>Gap Ref</t>
        </is>
      </c>
      <c r="G2" s="368" t="inlineStr">
        <is>
          <t>Status</t>
        </is>
      </c>
    </row>
    <row r="3">
      <c r="A3" s="369" t="inlineStr">
        <is>
          <t>AR - Arjun</t>
        </is>
      </c>
      <c r="B3" s="369" t="inlineStr">
        <is>
          <t>CTO</t>
        </is>
      </c>
      <c r="C3" s="369" t="inlineStr">
        <is>
          <t>Telematics Architecture ADR-026 + Fleet Dashboard</t>
        </is>
      </c>
      <c r="D3" s="369" t="inlineStr">
        <is>
          <t>docs/adr/, apps/dashboard/src/app/(dashboard)/fleet/</t>
        </is>
      </c>
      <c r="E3" s="369" t="inlineStr">
        <is>
          <t>ADR-026 telematics gateway; Fleet dashboard page with vehicle status, fuel, diagnostics; Fleet overview API endpoints</t>
        </is>
      </c>
      <c r="F3" s="369" t="inlineStr">
        <is>
          <t>G-11</t>
        </is>
      </c>
      <c r="G3" s="369" t="inlineStr">
        <is>
          <t>⬜</t>
        </is>
      </c>
    </row>
    <row r="4">
      <c r="A4" s="369" t="inlineStr">
        <is>
          <t>DM - Deepak</t>
        </is>
      </c>
      <c r="B4" s="369" t="inlineStr">
        <is>
          <t>Frontend</t>
        </is>
      </c>
      <c r="C4" s="369" t="inlineStr">
        <is>
          <t>Courier Partner Directory UI + Partner Onboarding</t>
        </is>
      </c>
      <c r="D4" s="369" t="inlineStr">
        <is>
          <t>apps/dashboard/src/app/(dashboard)/partners/</t>
        </is>
      </c>
      <c r="E4" s="369" t="inlineStr">
        <is>
          <t>Partner directory page with search/filter, partner detail cards, onboarding wizard (3-step), courier comparison view, partner settings</t>
        </is>
      </c>
      <c r="F4" s="369" t="inlineStr">
        <is>
          <t>G-14</t>
        </is>
      </c>
      <c r="G4" s="369" t="inlineStr">
        <is>
          <t>⬜</t>
        </is>
      </c>
    </row>
    <row r="5">
      <c r="A5" s="369" t="inlineStr">
        <is>
          <t>NK - Nikhil</t>
        </is>
      </c>
      <c r="B5" s="369" t="inlineStr">
        <is>
          <t>Frontend Lead</t>
        </is>
      </c>
      <c r="C5" s="369" t="inlineStr">
        <is>
          <t>Fleet Map &amp; Telematics Dashboard Components</t>
        </is>
      </c>
      <c r="D5" s="369" t="inlineStr">
        <is>
          <t>apps/dashboard/src/components/fleet/</t>
        </is>
      </c>
      <c r="E5" s="369" t="inlineStr">
        <is>
          <t>Vehicle tracker map (real-time positions), fuel gauge widget, diagnostic alerts panel, driver behavior heatmap, idle time chart, fleet stats cards</t>
        </is>
      </c>
      <c r="F5" s="369" t="inlineStr">
        <is>
          <t>G-11</t>
        </is>
      </c>
      <c r="G5" s="369" t="inlineStr">
        <is>
          <t>⬜</t>
        </is>
      </c>
    </row>
    <row r="6">
      <c r="A6" s="369" t="inlineStr">
        <is>
          <t>RG - Rahul</t>
        </is>
      </c>
      <c r="B6" s="369" t="inlineStr">
        <is>
          <t>Backend Lead</t>
        </is>
      </c>
      <c r="C6" s="369" t="inlineStr">
        <is>
          <t>Telematics Adapter Layer (Samsara + Geotab)</t>
        </is>
      </c>
      <c r="D6" s="369" t="inlineStr">
        <is>
          <t>packages/core/src/integrations/telematics/</t>
        </is>
      </c>
      <c r="E6" s="369" t="inlineStr">
        <is>
          <t>TelematicsAdapter interface, Samsara client (REST API v1), Geotab client (MyGeotab), vehicle position/fuel/diagnostics polling, event webhooks, rate limiting</t>
        </is>
      </c>
      <c r="F6" s="369" t="inlineStr">
        <is>
          <t>G-11</t>
        </is>
      </c>
      <c r="G6" s="369" t="inlineStr">
        <is>
          <t>⬜</t>
        </is>
      </c>
    </row>
    <row r="7">
      <c r="A7" s="369" t="inlineStr">
        <is>
          <t>SP - Sanjay</t>
        </is>
      </c>
      <c r="B7" s="369" t="inlineStr">
        <is>
          <t>Full-stack</t>
        </is>
      </c>
      <c r="C7" s="369" t="inlineStr">
        <is>
          <t>Invoice Completion + QuickBooks/Xero Integration</t>
        </is>
      </c>
      <c r="D7" s="369" t="inlineStr">
        <is>
          <t>packages/core/src/invoicing/, packages/core/src/integrations/accounting/</t>
        </is>
      </c>
      <c r="E7" s="369" t="inlineStr">
        <is>
          <t>Configurable billing rules (per-delivery/mile/hour/subscription), email invoice delivery, QuickBooks OAuth2 adapter, Xero OAuth2 adapter, accounting sync API</t>
        </is>
      </c>
      <c r="F7" s="369" t="inlineStr">
        <is>
          <t>G-13</t>
        </is>
      </c>
      <c r="G7" s="369" t="inlineStr">
        <is>
          <t>⬜</t>
        </is>
      </c>
    </row>
    <row r="8">
      <c r="A8" s="369" t="inlineStr">
        <is>
          <t>VS - Vikram</t>
        </is>
      </c>
      <c r="B8" s="369" t="inlineStr">
        <is>
          <t>Component Dev</t>
        </is>
      </c>
      <c r="C8" s="369" t="inlineStr">
        <is>
          <t>Fleet &amp; Partner UI Components + Courier Cards</t>
        </is>
      </c>
      <c r="D8" s="369" t="inlineStr">
        <is>
          <t>apps/dashboard/src/components/fleet/, apps/dashboard/src/components/partners/</t>
        </is>
      </c>
      <c r="E8" s="369" t="inlineStr">
        <is>
          <t>Vehicle status card, fuel gauge (SVG), diagnostic badge, speed chart, courier partner card, rate comparison table, partner badge, SLA indicator</t>
        </is>
      </c>
      <c r="F8" s="369" t="inlineStr">
        <is>
          <t>G-11, G-14</t>
        </is>
      </c>
      <c r="G8" s="369" t="inlineStr">
        <is>
          <t>⬜</t>
        </is>
      </c>
    </row>
    <row r="9">
      <c r="A9" s="369" t="inlineStr">
        <is>
          <t>PK - Priya</t>
        </is>
      </c>
      <c r="B9" s="369" t="inlineStr">
        <is>
          <t>Sr. Backend</t>
        </is>
      </c>
      <c r="C9" s="369" t="inlineStr">
        <is>
          <t>Courier Partner Adapters (Onfleet, Stuart, Uber Direct)</t>
        </is>
      </c>
      <c r="D9" s="369" t="inlineStr">
        <is>
          <t>packages/core/src/integrations/couriers/</t>
        </is>
      </c>
      <c r="E9" s="369" t="inlineStr">
        <is>
          <t>CourierAdapter interface, Onfleet client (Tasks API), Stuart client (Jobs API), Uber Direct client (Deliveries API), rate quotes, dispatch, tracking, webhook handlers</t>
        </is>
      </c>
      <c r="F9" s="369" t="inlineStr">
        <is>
          <t>G-14</t>
        </is>
      </c>
      <c r="G9" s="369" t="inlineStr">
        <is>
          <t>⬜</t>
        </is>
      </c>
    </row>
    <row r="10">
      <c r="A10" s="369" t="inlineStr">
        <is>
          <t>KS - Kavitha</t>
        </is>
      </c>
      <c r="B10" s="369" t="inlineStr">
        <is>
          <t>QA Lead</t>
        </is>
      </c>
      <c r="C10" s="369" t="inlineStr">
        <is>
          <t>Telematics + Courier + Invoice Integration Tests</t>
        </is>
      </c>
      <c r="D10" s="369" t="inlineStr">
        <is>
          <t>tests/integration/telematics/, tests/integration/couriers/, tests/integration/invoicing/</t>
        </is>
      </c>
      <c r="E10" s="369" t="inlineStr">
        <is>
          <t>Samsara adapter tests, Geotab adapter tests, Onfleet/Stuart/Uber Direct tests, invoice billing rules tests, QuickBooks/Xero sync tests, 200+ test cases</t>
        </is>
      </c>
      <c r="F10" s="369" t="inlineStr">
        <is>
          <t>G-11, G-13, G-14</t>
        </is>
      </c>
      <c r="G10" s="369" t="inlineStr">
        <is>
          <t>⬜</t>
        </is>
      </c>
    </row>
    <row r="11">
      <c r="A11" s="369" t="inlineStr">
        <is>
          <t>AM - Aisha</t>
        </is>
      </c>
      <c r="B11" s="369" t="inlineStr">
        <is>
          <t>Integration</t>
        </is>
      </c>
      <c r="C11" s="369" t="inlineStr">
        <is>
          <t>Traffic-Aware ETA v2 + Google Directions Integration</t>
        </is>
      </c>
      <c r="D11" s="369" t="inlineStr">
        <is>
          <t>packages/core/src/ai-eta-v2/, packages/core/src/integrations/traffic/</t>
        </is>
      </c>
      <c r="E11" s="369" t="inlineStr">
        <is>
          <t>Google Directions API client (distance matrix, traffic data), TomTom Traffic API adapter, traffic-aware routing, ETA adjustment pipeline, real-time traffic overlay API</t>
        </is>
      </c>
      <c r="F11" s="369" t="inlineStr">
        <is>
          <t>G-12</t>
        </is>
      </c>
      <c r="G11" s="369" t="inlineStr">
        <is>
          <t>⬜</t>
        </is>
      </c>
    </row>
    <row r="12">
      <c r="A12" s="369" t="inlineStr">
        <is>
          <t>ZR - Zara</t>
        </is>
      </c>
      <c r="B12" s="369" t="inlineStr">
        <is>
          <t>AI Engineer</t>
        </is>
      </c>
      <c r="C12" s="369" t="inlineStr">
        <is>
          <t>ML ETA Engine v2 — Traffic-Aware Multi-Model</t>
        </is>
      </c>
      <c r="D12" s="369" t="inlineStr">
        <is>
          <t>packages/core/src/ai-eta-v2/</t>
        </is>
      </c>
      <c r="E12" s="369" t="inlineStr">
        <is>
          <t>Traffic zone classifier, time-of-day model, day-of-week model, distance-decay model, historical delivery model, weather impact model, ensemble with confidence intervals, auto-calibration, model performance tracker</t>
        </is>
      </c>
      <c r="F12" s="369" t="inlineStr">
        <is>
          <t>G-12</t>
        </is>
      </c>
      <c r="G12" s="369" t="inlineStr">
        <is>
          <t>⬜</t>
        </is>
      </c>
    </row>
  </sheetData>
  <mergeCells count="1">
    <mergeCell ref="A1:G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style="186" min="1" max="1"/>
    <col width="14" customWidth="1" style="186" min="2" max="2"/>
    <col width="50" customWidth="1" style="186" min="3" max="3"/>
    <col width="55" customWidth="1" style="186" min="4" max="4"/>
    <col width="12" customWidth="1" style="186" min="5" max="5"/>
    <col width="10" customWidth="1" style="186" min="6" max="6"/>
  </cols>
  <sheetData>
    <row r="1">
      <c r="A1" s="372" t="inlineStr">
        <is>
          <t>Agent</t>
        </is>
      </c>
      <c r="B1" s="372" t="inlineStr">
        <is>
          <t>Role</t>
        </is>
      </c>
      <c r="C1" s="372" t="inlineStr">
        <is>
          <t>Task</t>
        </is>
      </c>
      <c r="D1" s="372" t="inlineStr">
        <is>
          <t>Deliverables</t>
        </is>
      </c>
      <c r="E1" s="372" t="inlineStr">
        <is>
          <t>Est. Lines</t>
        </is>
      </c>
      <c r="F1" s="372" t="inlineStr">
        <is>
          <t>Status</t>
        </is>
      </c>
    </row>
    <row r="2">
      <c r="A2" s="373" t="inlineStr">
        <is>
          <t>AR - Arjun</t>
        </is>
      </c>
      <c r="B2" s="373" t="inlineStr">
        <is>
          <t>CTO</t>
        </is>
      </c>
      <c r="C2" s="373" t="inlineStr">
        <is>
          <t>ADR-027 AI Demand Prediction Architecture + Platform Health Dashboard</t>
        </is>
      </c>
      <c r="D2" s="373" t="inlineStr">
        <is>
          <t>ADR-027 doc, demand-prediction types, platform health page, system status API</t>
        </is>
      </c>
      <c r="E2" s="373" t="inlineStr">
        <is>
          <t>3000</t>
        </is>
      </c>
      <c r="F2" s="373" t="inlineStr">
        <is>
          <t>Planned</t>
        </is>
      </c>
    </row>
    <row r="3">
      <c r="A3" s="374" t="inlineStr">
        <is>
          <t>DM - Deepak</t>
        </is>
      </c>
      <c r="B3" s="374" t="inlineStr">
        <is>
          <t>Frontend</t>
        </is>
      </c>
      <c r="C3" s="374" t="inlineStr">
        <is>
          <t>Invoice Management Dashboard + Payment Tracking UI</t>
        </is>
      </c>
      <c r="D3" s="374" t="inlineStr">
        <is>
          <t>Invoice list page, invoice detail, payment history, invoice PDF preview component</t>
        </is>
      </c>
      <c r="E3" s="374" t="inlineStr">
        <is>
          <t>2500</t>
        </is>
      </c>
      <c r="F3" s="374" t="inlineStr">
        <is>
          <t>Planned</t>
        </is>
      </c>
    </row>
    <row r="4">
      <c r="A4" s="373" t="inlineStr">
        <is>
          <t>NK - Nikhil</t>
        </is>
      </c>
      <c r="B4" s="373" t="inlineStr">
        <is>
          <t>Frontend Lead</t>
        </is>
      </c>
      <c r="C4" s="373" t="inlineStr">
        <is>
          <t>Courier Live Tracking Map + Dispatch Console</t>
        </is>
      </c>
      <c r="D4" s="373" t="inlineStr">
        <is>
          <t>Live courier map, dispatch console, courier assignment panel, delivery timeline</t>
        </is>
      </c>
      <c r="E4" s="373" t="inlineStr">
        <is>
          <t>2400</t>
        </is>
      </c>
      <c r="F4" s="373" t="inlineStr">
        <is>
          <t>Planned</t>
        </is>
      </c>
    </row>
    <row r="5">
      <c r="A5" s="374" t="inlineStr">
        <is>
          <t>RG - Rahul</t>
        </is>
      </c>
      <c r="B5" s="374" t="inlineStr">
        <is>
          <t>Backend Lead</t>
        </is>
      </c>
      <c r="C5" s="374" t="inlineStr">
        <is>
          <t>Courier Webhook Handlers + Partner Rating Engine</t>
        </is>
      </c>
      <c r="D5" s="374" t="inlineStr">
        <is>
          <t>Webhook processors for Onfleet/Stuart/Uber, partner rating service, SLA tracker</t>
        </is>
      </c>
      <c r="E5" s="374" t="inlineStr">
        <is>
          <t>3500</t>
        </is>
      </c>
      <c r="F5" s="374" t="inlineStr">
        <is>
          <t>Planned</t>
        </is>
      </c>
    </row>
    <row r="6">
      <c r="A6" s="373" t="inlineStr">
        <is>
          <t>SP - Sanjay</t>
        </is>
      </c>
      <c r="B6" s="373" t="inlineStr">
        <is>
          <t>Full-stack</t>
        </is>
      </c>
      <c r="C6" s="373" t="inlineStr">
        <is>
          <t>Invoice PDF Generation + Payment Gateway Integration</t>
        </is>
      </c>
      <c r="D6" s="373" t="inlineStr">
        <is>
          <t>PDF invoice generator (html-pdf), Stripe payment links, payment reconciliation</t>
        </is>
      </c>
      <c r="E6" s="373" t="inlineStr">
        <is>
          <t>4000</t>
        </is>
      </c>
      <c r="F6" s="373" t="inlineStr">
        <is>
          <t>Planned</t>
        </is>
      </c>
    </row>
    <row r="7">
      <c r="A7" s="374" t="inlineStr">
        <is>
          <t>VS - Vikram</t>
        </is>
      </c>
      <c r="B7" s="374" t="inlineStr">
        <is>
          <t>Component Dev</t>
        </is>
      </c>
      <c r="C7" s="374" t="inlineStr">
        <is>
          <t>Invoice &amp; Payment UI Components + Courier Tracking Cards</t>
        </is>
      </c>
      <c r="D7" s="374" t="inlineStr">
        <is>
          <t>Invoice table, payment status badge, amount display, courier tracking card, delivery ETA card</t>
        </is>
      </c>
      <c r="E7" s="374" t="inlineStr">
        <is>
          <t>2800</t>
        </is>
      </c>
      <c r="F7" s="374" t="inlineStr">
        <is>
          <t>Planned</t>
        </is>
      </c>
    </row>
    <row r="8">
      <c r="A8" s="373" t="inlineStr">
        <is>
          <t>PK - Priya</t>
        </is>
      </c>
      <c r="B8" s="373" t="inlineStr">
        <is>
          <t>Sr. Backend</t>
        </is>
      </c>
      <c r="C8" s="373" t="inlineStr">
        <is>
          <t>Courier Partner Rating + Multi-Courier Routing Engine</t>
        </is>
      </c>
      <c r="D8" s="373" t="inlineStr">
        <is>
          <t>Partner performance scoring, auto-courier selection v2, cost optimization, SLA enforcement</t>
        </is>
      </c>
      <c r="E8" s="373" t="inlineStr">
        <is>
          <t>3800</t>
        </is>
      </c>
      <c r="F8" s="373" t="inlineStr">
        <is>
          <t>Planned</t>
        </is>
      </c>
    </row>
    <row r="9">
      <c r="A9" s="374" t="inlineStr">
        <is>
          <t>KS - Kavitha</t>
        </is>
      </c>
      <c r="B9" s="374" t="inlineStr">
        <is>
          <t>QA Lead</t>
        </is>
      </c>
      <c r="C9" s="374" t="inlineStr">
        <is>
          <t>Invoice + Payment + Courier Dispatch Integration Tests</t>
        </is>
      </c>
      <c r="D9" s="374" t="inlineStr">
        <is>
          <t>Invoice generation tests, payment flow tests, courier dispatch tests, webhook handler tests</t>
        </is>
      </c>
      <c r="E9" s="374" t="inlineStr">
        <is>
          <t>2000</t>
        </is>
      </c>
      <c r="F9" s="374" t="inlineStr">
        <is>
          <t>Planned</t>
        </is>
      </c>
    </row>
    <row r="10">
      <c r="A10" s="373" t="inlineStr">
        <is>
          <t>AM - Aisha</t>
        </is>
      </c>
      <c r="B10" s="373" t="inlineStr">
        <is>
          <t>Integration</t>
        </is>
      </c>
      <c r="C10" s="373" t="inlineStr">
        <is>
          <t>AI Demand Prediction Data Pipeline + Feature Store</t>
        </is>
      </c>
      <c r="D10" s="373" t="inlineStr">
        <is>
          <t>Historical delivery aggregator, time-series feature extractor, demand forecasting pipeline</t>
        </is>
      </c>
      <c r="E10" s="373" t="inlineStr">
        <is>
          <t>4500</t>
        </is>
      </c>
      <c r="F10" s="373" t="inlineStr">
        <is>
          <t>Planned</t>
        </is>
      </c>
    </row>
    <row r="11">
      <c r="A11" s="374" t="inlineStr">
        <is>
          <t>ZR - Zara</t>
        </is>
      </c>
      <c r="B11" s="374" t="inlineStr">
        <is>
          <t>AI Engineer</t>
        </is>
      </c>
      <c r="C11" s="374" t="inlineStr">
        <is>
          <t>AI Demand Prediction Models + Smart Scheduling Engine</t>
        </is>
      </c>
      <c r="D11" s="374" t="inlineStr">
        <is>
          <t>Demand forecasting models (ARIMA-like, seasonal decomposition, zone clustering), smart slot optimizer</t>
        </is>
      </c>
      <c r="E11" s="374" t="inlineStr">
        <is>
          <t>5500</t>
        </is>
      </c>
      <c r="F11" s="374" t="inlineStr">
        <is>
          <t>Planned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2026-03-06T14:15:01Z</dcterms:created>
  <dcterms:modified xmlns:dcterms="http://purl.org/dc/terms/" xmlns:xsi="http://www.w3.org/2001/XMLSchema-instance" xsi:type="dcterms:W3CDTF">2026-03-11T09:09:39Z</dcterms:modified>
  <cp:lastModifiedBy>Kiranjeet Seehra</cp:lastModifiedBy>
  <cp:revision>0</cp:revision>
</cp:coreProperties>
</file>