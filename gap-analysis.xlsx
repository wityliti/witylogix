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am Directory" sheetId="1" state="visible" r:id="rId3"/>
    <sheet name="Executive Summary" sheetId="2" state="visible" r:id="rId4"/>
    <sheet name="Data Models Gap" sheetId="3" state="visible" r:id="rId5"/>
    <sheet name="Feature Gap - Pages" sheetId="4" state="visible" r:id="rId6"/>
    <sheet name="Service &amp; API Gap" sheetId="5" state="visible" r:id="rId7"/>
    <sheet name="Infrastructure Gap" sheetId="6" state="visible" r:id="rId8"/>
    <sheet name="Priority Roadmap" sheetId="7" state="visible" r:id="rId9"/>
    <sheet name="Statistics" sheetId="8" state="visible" r:id="rId10"/>
  </sheets>
  <definedNames>
    <definedName function="false" hidden="true" localSheetId="2" name="_xlnm._FilterDatabase" vbProcedure="false">'Data Models Gap'!$A$1:$K$40</definedName>
    <definedName function="false" hidden="true" localSheetId="3" name="_xlnm._FilterDatabase" vbProcedure="false">'Feature Gap - Pages'!$A$1:$J$34</definedName>
    <definedName function="false" hidden="true" localSheetId="5" name="_xlnm._FilterDatabase" vbProcedure="false">'Infrastructure Gap'!$A$1:$J$21</definedName>
    <definedName function="false" hidden="true" localSheetId="6" name="_xlnm._FilterDatabase" vbProcedure="false">'Priority Roadmap'!$A$1:$K$36</definedName>
    <definedName function="false" hidden="true" localSheetId="4" name="_xlnm._FilterDatabase" vbProcedure="false">'Service &amp; API Gap'!$A$1:$J$34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<sst xmlns="http://schemas.openxmlformats.org/spreadsheetml/2006/main" count="2216" uniqueCount="914">
  <si>
    <t xml:space="preserve">WITYLOGIX — STARTUP ENGINEERING TEAM</t>
  </si>
  <si>
    <t xml:space="preserve">9-person team organized into 5 squads — working in parallel across 6 phases</t>
  </si>
  <si>
    <t xml:space="preserve">ID</t>
  </si>
  <si>
    <t xml:space="preserve">Name</t>
  </si>
  <si>
    <t xml:space="preserve">Role</t>
  </si>
  <si>
    <t xml:space="preserve">Squad</t>
  </si>
  <si>
    <t xml:space="preserve">Focus Areas</t>
  </si>
  <si>
    <t xml:space="preserve">Parallel Tracks</t>
  </si>
  <si>
    <t xml:space="preserve">Models</t>
  </si>
  <si>
    <t xml:space="preserve">Pages</t>
  </si>
  <si>
    <t xml:space="preserve">Services</t>
  </si>
  <si>
    <t xml:space="preserve">Infra</t>
  </si>
  <si>
    <t xml:space="preserve">Roadmap</t>
  </si>
  <si>
    <t xml:space="preserve">Total Items</t>
  </si>
  <si>
    <t xml:space="preserve">AR</t>
  </si>
  <si>
    <t xml:space="preserve">Arjun Rajput</t>
  </si>
  <si>
    <t xml:space="preserve">CTO / Tech Lead</t>
  </si>
  <si>
    <t xml:space="preserve">Architecture</t>
  </si>
  <si>
    <t xml:space="preserve">System design, API architecture, DB schema, auth, infra decisions</t>
  </si>
  <si>
    <t xml:space="preserve">Auth system, RBAC, schema design, code reviews</t>
  </si>
  <si>
    <t xml:space="preserve">PK</t>
  </si>
  <si>
    <t xml:space="preserve">Priya Kapoor</t>
  </si>
  <si>
    <t xml:space="preserve">Sr. Backend Engineer</t>
  </si>
  <si>
    <t xml:space="preserve">Core Backend</t>
  </si>
  <si>
    <t xml:space="preserve">Order/shipment lifecycle, business logic, Shopify sync, webhooks</t>
  </si>
  <si>
    <t xml:space="preserve">Order CRUD, shipment model, webhook processors, Shopify sync engine</t>
  </si>
  <si>
    <t xml:space="preserve">VS</t>
  </si>
  <si>
    <t xml:space="preserve">Vikram Shah</t>
  </si>
  <si>
    <t xml:space="preserve">Backend Engineer</t>
  </si>
  <si>
    <t xml:space="preserve">Route optimization, geospatial, carrier service, location mgmt</t>
  </si>
  <si>
    <t xml:space="preserve">PostGIS, route optimization, shipping profiles, delivery rules, carrier rates</t>
  </si>
  <si>
    <t xml:space="preserve">NK</t>
  </si>
  <si>
    <t xml:space="preserve">Neha Krishnan</t>
  </si>
  <si>
    <t xml:space="preserve">Sr. Frontend Engineer</t>
  </si>
  <si>
    <t xml:space="preserve">Frontend</t>
  </si>
  <si>
    <t xml:space="preserve">Dashboard UI, design system, pages, components, UX</t>
  </si>
  <si>
    <t xml:space="preserve">Design system, dashboard pages, settings, analytics, onboarding</t>
  </si>
  <si>
    <t xml:space="preserve">DM</t>
  </si>
  <si>
    <t xml:space="preserve">Dev Malhotra</t>
  </si>
  <si>
    <t xml:space="preserve">Frontend Engineer</t>
  </si>
  <si>
    <t xml:space="preserve">Order/shipment/route pages, map integrations, forms</t>
  </si>
  <si>
    <t xml:space="preserve">Order pages, shipment pages, route create/edit, zone map drawing, forms</t>
  </si>
  <si>
    <t xml:space="preserve">SP</t>
  </si>
  <si>
    <t xml:space="preserve">Sanya Patel</t>
  </si>
  <si>
    <t xml:space="preserve">Full-Stack Engineer</t>
  </si>
  <si>
    <t xml:space="preserve">Integrations</t>
  </si>
  <si>
    <t xml:space="preserve">Notification providers, email/SMS/WhatsApp, Firebase push, templates</t>
  </si>
  <si>
    <t xml:space="preserve">SendGrid, Twilio, WhatsApp, FCM, notification templates, campaign system</t>
  </si>
  <si>
    <t xml:space="preserve">RG</t>
  </si>
  <si>
    <t xml:space="preserve">Rohan Gupta</t>
  </si>
  <si>
    <t xml:space="preserve">Payment gateways, billing, analytics, 3rd-party APIs, super admin</t>
  </si>
  <si>
    <t xml:space="preserve">Payment module, billing/plans, analytics engine, cart plugin, POS</t>
  </si>
  <si>
    <t xml:space="preserve">AM</t>
  </si>
  <si>
    <t xml:space="preserve">Aisha Mehra</t>
  </si>
  <si>
    <t xml:space="preserve">DevOps / Infra Engineer</t>
  </si>
  <si>
    <t xml:space="preserve">Platform</t>
  </si>
  <si>
    <t xml:space="preserve">Docker, CI/CD, Redis, BullMQ, PostGIS, monitoring, deployment</t>
  </si>
  <si>
    <t xml:space="preserve">Queue infrastructure, Redis caching, PostGIS setup, Docker, CI/CD, logging</t>
  </si>
  <si>
    <t xml:space="preserve">KS</t>
  </si>
  <si>
    <t xml:space="preserve">Kabir Singh</t>
  </si>
  <si>
    <t xml:space="preserve">QA / Test Engineer</t>
  </si>
  <si>
    <t xml:space="preserve">Quality</t>
  </si>
  <si>
    <t xml:space="preserve">Test strategy, E2E tests, API tests, regression, data migration QA</t>
  </si>
  <si>
    <t xml:space="preserve">Test framework setup, API test suites, E2E scenarios, migration validation</t>
  </si>
  <si>
    <t xml:space="preserve">TOTAL</t>
  </si>
  <si>
    <t xml:space="preserve">Squad Structure</t>
  </si>
  <si>
    <t xml:space="preserve">Members</t>
  </si>
  <si>
    <t xml:space="preserve">Primary Responsibility</t>
  </si>
  <si>
    <t xml:space="preserve">Phase Focus</t>
  </si>
  <si>
    <t xml:space="preserve">AR (Arjun)</t>
  </si>
  <si>
    <t xml:space="preserve">System design, auth, schema, cross-cutting concerns, code reviews</t>
  </si>
  <si>
    <t xml:space="preserve">Phase 1 lead, oversight all phases</t>
  </si>
  <si>
    <t xml:space="preserve">PK (Priya), VS (Vikram)</t>
  </si>
  <si>
    <t xml:space="preserve">Order lifecycle, shipments, routes, shipping profiles, Shopify sync</t>
  </si>
  <si>
    <t xml:space="preserve">Phase 1-2 primary, Phase 4 support</t>
  </si>
  <si>
    <t xml:space="preserve">NK (Neha), DM (Dev)</t>
  </si>
  <si>
    <t xml:space="preserve">Dashboard UI, all pages, design system, map integrations, UX</t>
  </si>
  <si>
    <t xml:space="preserve">Phase 1-2 primary (parallel with backend)</t>
  </si>
  <si>
    <t xml:space="preserve">SP (Sanya), RG (Rohan)</t>
  </si>
  <si>
    <t xml:space="preserve">Notifications, payments, billing, analytics, 3rd-party APIs</t>
  </si>
  <si>
    <t xml:space="preserve">Phase 3-4 primary, Phase 5-6</t>
  </si>
  <si>
    <t xml:space="preserve">AM (Aisha)</t>
  </si>
  <si>
    <t xml:space="preserve">Infrastructure, DevOps, queues, caching, monitoring, deployment</t>
  </si>
  <si>
    <t xml:space="preserve">Phase 1 setup, continuous throughout</t>
  </si>
  <si>
    <t xml:space="preserve">KS (Kabir)</t>
  </si>
  <si>
    <t xml:space="preserve">Test strategy, automation, E2E, API tests, migration validation</t>
  </si>
  <si>
    <t xml:space="preserve">Continuous from Phase 2 onwards</t>
  </si>
  <si>
    <t xml:space="preserve">WITYLOGIX PLATFORM — GAP ANALYSIS</t>
  </si>
  <si>
    <t xml:space="preserve">Old Backend (lmd-oms-v3 + lmd-oms-nextjs-v3) → New Platform (witylogix-platform)</t>
  </si>
  <si>
    <t xml:space="preserve">Last Updated: Sprint 2.6 (2026-03-07)</t>
  </si>
  <si>
    <t xml:space="preserve">Old System</t>
  </si>
  <si>
    <t xml:space="preserve">New Platform</t>
  </si>
  <si>
    <t xml:space="preserve">Gap</t>
  </si>
  <si>
    <t xml:space="preserve">Total Files: 555 source files | 168,753 lines of code</t>
  </si>
  <si>
    <t xml:space="preserve">38+</t>
  </si>
  <si>
    <t xml:space="preserve">26 (Prisma)</t>
  </si>
  <si>
    <t xml:space="preserve">Consolidated into fewer, richer models</t>
  </si>
  <si>
    <t xml:space="preserve">Sprints Completed: 1.1, 1.2, 2.0, 2.1, 2.2, 2.3, 2.4, 2.5</t>
  </si>
  <si>
    <t xml:space="preserve">68</t>
  </si>
  <si>
    <t xml:space="preserve">50</t>
  </si>
  <si>
    <t xml:space="preserve">Many features still need pages</t>
  </si>
  <si>
    <t xml:space="preserve">API Routes</t>
  </si>
  <si>
    <t xml:space="preserve">85+ (Express)</t>
  </si>
  <si>
    <t xml:space="preserve">42 (Fastify)</t>
  </si>
  <si>
    <t xml:space="preserve">Many endpoints still needed</t>
  </si>
  <si>
    <t xml:space="preserve">Services/Controllers</t>
  </si>
  <si>
    <t xml:space="preserve">140+ / 80+</t>
  </si>
  <si>
    <t xml:space="preserve">7+ queue consumers</t>
  </si>
  <si>
    <t xml:space="preserve">Core business logic to rebuild</t>
  </si>
  <si>
    <t xml:space="preserve">Microservices (PM2)</t>
  </si>
  <si>
    <t xml:space="preserve">12</t>
  </si>
  <si>
    <t xml:space="preserve">1 monolith + workers</t>
  </si>
  <si>
    <t xml:space="preserve">Queue workers needed</t>
  </si>
  <si>
    <t xml:space="preserve">Notification Channels</t>
  </si>
  <si>
    <t xml:space="preserve">Email, SMS, WhatsApp, Push, Slack</t>
  </si>
  <si>
    <t xml:space="preserve">Schema only</t>
  </si>
  <si>
    <t xml:space="preserve">All providers to integrate</t>
  </si>
  <si>
    <t xml:space="preserve">Payment Systems</t>
  </si>
  <si>
    <t xml:space="preserve">COD, Custom Gateways, Shopify Txn</t>
  </si>
  <si>
    <t xml:space="preserve">COD + gateway abstractions</t>
  </si>
  <si>
    <t xml:space="preserve">Stripe/Razorpay implementation needed</t>
  </si>
  <si>
    <t xml:space="preserve">Map Providers</t>
  </si>
  <si>
    <t xml:space="preserve">Google Maps + Mapbox</t>
  </si>
  <si>
    <t xml:space="preserve">Haversine + PostGIS spatial module</t>
  </si>
  <si>
    <t xml:space="preserve">PostGIS extension enable needed</t>
  </si>
  <si>
    <t xml:space="preserve">Webhook Processors</t>
  </si>
  <si>
    <t xml:space="preserve">5 dedicated servers</t>
  </si>
  <si>
    <t xml:space="preserve">4 webhook consumers</t>
  </si>
  <si>
    <t xml:space="preserve">Additional webhook types needed</t>
  </si>
  <si>
    <t xml:space="preserve">Real-time Tracking</t>
  </si>
  <si>
    <t xml:space="preserve">Firebase + WebSocket</t>
  </si>
  <si>
    <t xml:space="preserve">None</t>
  </si>
  <si>
    <t xml:space="preserve">Driver tracking to build</t>
  </si>
  <si>
    <t xml:space="preserve">Campaign/Marketing</t>
  </si>
  <si>
    <t xml:space="preserve">Email templates, Broadcasts</t>
  </si>
  <si>
    <t xml:space="preserve">Campaign module needed</t>
  </si>
  <si>
    <t xml:space="preserve">38 marketplace providers</t>
  </si>
  <si>
    <t xml:space="preserve">Schema + registry</t>
  </si>
  <si>
    <t xml:space="preserve">Provider implementations needed</t>
  </si>
  <si>
    <t xml:space="preserve">Components</t>
  </si>
  <si>
    <t xml:space="preserve">296+</t>
  </si>
  <si>
    <t xml:space="preserve">~12</t>
  </si>
  <si>
    <t xml:space="preserve">Component library to expand</t>
  </si>
  <si>
    <t xml:space="preserve">Old Model (MongoDB)</t>
  </si>
  <si>
    <t xml:space="preserve">Collection</t>
  </si>
  <si>
    <t xml:space="preserve">New Model (Prisma)</t>
  </si>
  <si>
    <t xml:space="preserve">Status</t>
  </si>
  <si>
    <t xml:space="preserve">Key Fields Missing in New</t>
  </si>
  <si>
    <t xml:space="preserve">Priority</t>
  </si>
  <si>
    <t xml:space="preserve">Notes</t>
  </si>
  <si>
    <t xml:space="preserve">Done</t>
  </si>
  <si>
    <t xml:space="preserve">Assignee</t>
  </si>
  <si>
    <t xml:space="preserve">Work Status</t>
  </si>
  <si>
    <t xml:space="preserve">shopifyOrder</t>
  </si>
  <si>
    <t xml:space="preserve">shopify_orders</t>
  </si>
  <si>
    <t xml:space="preserve">Order</t>
  </si>
  <si>
    <t xml:space="preserve">EXISTS</t>
  </si>
  <si>
    <t xml:space="preserve">lineItems detail, billingAddress, shippingAddress, financialStatus, fulfillmentStatus, tags (rich), cancelledAt, refunds, discountCodes, taxLines, shippingLines, noteAttributes, orderRisk, orderSource</t>
  </si>
  <si>
    <t xml:space="preserve">P0</t>
  </si>
  <si>
    <t xml:space="preserve">Core model - needs many Shopify-specific fields</t>
  </si>
  <si>
    <t xml:space="preserve">☑</t>
  </si>
  <si>
    <t xml:space="preserve">PK - Priya</t>
  </si>
  <si>
    <t xml:space="preserve">DONE</t>
  </si>
  <si>
    <t xml:space="preserve">shipment</t>
  </si>
  <si>
    <t xml:space="preserve">shipments</t>
  </si>
  <si>
    <t xml:space="preserve">Shipment</t>
  </si>
  <si>
    <t xml:space="preserve">Entire model: tracking_number, carrier, shipping_method, status lifecycle, label_url, customs_info, insurance, return_tracking, package_dimensions, weight, estimated_delivery_date, actual_delivery_date, shipping_cost, recipient_details, documents[], activity_log[]</t>
  </si>
  <si>
    <t xml:space="preserve">Critical gap - old system had full shipment lifecycle separate from orders</t>
  </si>
  <si>
    <t xml:space="preserve">shipmentItem</t>
  </si>
  <si>
    <t xml:space="preserve">shipment_items</t>
  </si>
  <si>
    <t xml:space="preserve">ShipmentProof</t>
  </si>
  <si>
    <t xml:space="preserve">PARTIAL</t>
  </si>
  <si>
    <t xml:space="preserve">Entire model: shipment_ref, product_id, variant_id, quantity, weight, dimensions, customs_value, hs_code, origin_country</t>
  </si>
  <si>
    <t xml:space="preserve">Needed for per-item shipment tracking</t>
  </si>
  <si>
    <t xml:space="preserve">☐</t>
  </si>
  <si>
    <t xml:space="preserve">IN PROGRESS</t>
  </si>
  <si>
    <t xml:space="preserve">user</t>
  </si>
  <si>
    <t xml:space="preserve">users</t>
  </si>
  <si>
    <t xml:space="preserve">User</t>
  </si>
  <si>
    <t xml:space="preserve">phone, avatar, permissions[], timezone, language, lastActiveAt, inviteToken, inviteExpiry, twoFactorEnabled, notificationPreferences</t>
  </si>
  <si>
    <t xml:space="preserve">P1</t>
  </si>
  <si>
    <t xml:space="preserve">Old had richer user profiles</t>
  </si>
  <si>
    <t xml:space="preserve">AR - Arjun</t>
  </si>
  <si>
    <t xml:space="preserve">userRole</t>
  </si>
  <si>
    <t xml:space="preserve">user_roles</t>
  </si>
  <si>
    <t xml:space="preserve">User.role (enum)</t>
  </si>
  <si>
    <t xml:space="preserve">Full RBAC model with permissions array, resource-level access, customizable roles</t>
  </si>
  <si>
    <t xml:space="preserve">Old had dynamic roles; new uses fixed enum</t>
  </si>
  <si>
    <t xml:space="preserve">userPermission</t>
  </si>
  <si>
    <t xml:space="preserve">user_permissions</t>
  </si>
  <si>
    <t xml:space="preserve">—</t>
  </si>
  <si>
    <t xml:space="preserve">MISSING</t>
  </si>
  <si>
    <t xml:space="preserve">Entire model: role_ref, resource, action, allow/deny, conditions</t>
  </si>
  <si>
    <t xml:space="preserve">Granular permission system missing</t>
  </si>
  <si>
    <t xml:space="preserve">storeDetail</t>
  </si>
  <si>
    <t xml:space="preserve">store_details</t>
  </si>
  <si>
    <t xml:space="preserve">Shop</t>
  </si>
  <si>
    <t xml:space="preserve">address, country, province, logo, favicon, social_links, business_hours, description, industry, defaultLanguage, supportEmail, returnPolicy, trackingPageConfig, widgetConfig, analyticsConfig</t>
  </si>
  <si>
    <t xml:space="preserve">Shop model is minimal vs old storeDetail</t>
  </si>
  <si>
    <t xml:space="preserve">storeSettings</t>
  </si>
  <si>
    <t xml:space="preserve">store_settings</t>
  </si>
  <si>
    <t xml:space="preserve">Shop.settings (JSON)</t>
  </si>
  <si>
    <t xml:space="preserve">Structured settings: autoAssign, proofOfDelivery, signatureRequired, realTimeTracking, driverAppConfig, customerNotificationDefaults, inventorySync, fulfillmentRules</t>
  </si>
  <si>
    <t xml:space="preserve">Old had explicit fields; new uses opaque JSON</t>
  </si>
  <si>
    <t xml:space="preserve">storeApiSettings</t>
  </si>
  <si>
    <t xml:space="preserve">store_api_settings</t>
  </si>
  <si>
    <t xml:space="preserve">Integration</t>
  </si>
  <si>
    <t xml:space="preserve">Old had dedicated model for API keys per provider (Google, Mapbox, Twilio, SendGrid, etc.)</t>
  </si>
  <si>
    <t xml:space="preserve">P2</t>
  </si>
  <si>
    <t xml:space="preserve">Subsumed by Integration model but less explicit</t>
  </si>
  <si>
    <t xml:space="preserve">SP - Sanya</t>
  </si>
  <si>
    <t xml:space="preserve">storeInfo</t>
  </si>
  <si>
    <t xml:space="preserve">store_infos</t>
  </si>
  <si>
    <t xml:space="preserve">Merged into Shop model</t>
  </si>
  <si>
    <t xml:space="preserve">Consolidated correctly</t>
  </si>
  <si>
    <t xml:space="preserve">calenderRule / calenderProfile</t>
  </si>
  <si>
    <t xml:space="preserve">calender_rules / calender_profiles</t>
  </si>
  <si>
    <t xml:space="preserve">Entire models: blackout_dates[], operating_hours{}, preparation_time, cutoff_rules, holiday_calendars, recurring_rules, capacity_by_day, special_event_overrides</t>
  </si>
  <si>
    <t xml:space="preserve">Sprint 2.5: calendar-engine.ts in shipping-profiles module</t>
  </si>
  <si>
    <t xml:space="preserve">VS - Vikram</t>
  </si>
  <si>
    <t xml:space="preserve">deliveryRule / pickupRule / shippingRule</t>
  </si>
  <si>
    <t xml:space="preserve">Various</t>
  </si>
  <si>
    <t xml:space="preserve">Entire rule engines: distance-based, weight-based, zone-based, product-category, minimum-order, time-window, same-day/next-day rules, rate tables, conditional logic</t>
  </si>
  <si>
    <t xml:space="preserve">Sprint 2.4 - DeliveryRule, PickupRule, CalendarProfile models added</t>
  </si>
  <si>
    <t xml:space="preserve">shippingProfile</t>
  </si>
  <si>
    <t xml:space="preserve">shipping_profiles</t>
  </si>
  <si>
    <t xml:space="preserve">ShippingProfile + ShippingRate + ShippingZoneRule + DeliveryCalendar</t>
  </si>
  <si>
    <t xml:space="preserve">Entire model: locations[], rates[], rules[], zones[], delivery_methods[], processing_times, conditions, product_groups</t>
  </si>
  <si>
    <t xml:space="preserve">Sprint 2.5: 31-shipping-profiles-v2.prisma + full core module</t>
  </si>
  <si>
    <t xml:space="preserve">zone</t>
  </si>
  <si>
    <t xml:space="preserve">zones</t>
  </si>
  <si>
    <t xml:space="preserve">DeliveryZone</t>
  </si>
  <si>
    <t xml:space="preserve">boundary polygon (PostGIS), color, description, delivery_methods[], associated_locations[], max_distance, estimated_time_range</t>
  </si>
  <si>
    <t xml:space="preserve">PostGIS boundary is TODO; zone features limited</t>
  </si>
  <si>
    <t xml:space="preserve">location / warehouse</t>
  </si>
  <si>
    <t xml:space="preserve">locations</t>
  </si>
  <si>
    <t xml:space="preserve">Location</t>
  </si>
  <si>
    <t xml:space="preserve">Entire model: name, address, coordinates, type (warehouse/store/hub), inventory[], working_hours, pickup_rules, delivery_rules, associated_zones[], capacity, contact_info</t>
  </si>
  <si>
    <t xml:space="preserve">No location/warehouse model in new schema</t>
  </si>
  <si>
    <t xml:space="preserve">vehicle</t>
  </si>
  <si>
    <t xml:space="preserve">vehicles</t>
  </si>
  <si>
    <t xml:space="preserve">Driver (with vehicle fields)</t>
  </si>
  <si>
    <t xml:space="preserve">Old had separate Vehicle model: make, model, year, color, insurance, registration, capacity_volume, capacity_weight, fuel_type, maintenance_schedule</t>
  </si>
  <si>
    <t xml:space="preserve">New schema has vehicleType/vehiclePlate on Driver only</t>
  </si>
  <si>
    <t xml:space="preserve">notificationTemplate</t>
  </si>
  <si>
    <t xml:space="preserve">notification_templates</t>
  </si>
  <si>
    <t xml:space="preserve">NotificationTemplate</t>
  </si>
  <si>
    <t xml:space="preserve">Entire model: channel, event_type, subject, body_template, variables[], isActive, language, version</t>
  </si>
  <si>
    <t xml:space="preserve">Notification template system missing</t>
  </si>
  <si>
    <t xml:space="preserve">notificationConfig</t>
  </si>
  <si>
    <t xml:space="preserve">notification_configs</t>
  </si>
  <si>
    <t xml:space="preserve">NotificationLog</t>
  </si>
  <si>
    <t xml:space="preserve">Per-store notification preferences: enabled_channels{}, event_subscriptions{}, quiet_hours, frequency_limits</t>
  </si>
  <si>
    <t xml:space="preserve">Notification configuration missing</t>
  </si>
  <si>
    <t xml:space="preserve">whatsappTemplate</t>
  </si>
  <si>
    <t xml:space="preserve">whatsapp_templates</t>
  </si>
  <si>
    <t xml:space="preserve">Entire model: template_id, name, language, category, components[], status, provider_template_id</t>
  </si>
  <si>
    <t xml:space="preserve">WhatsApp Business template management</t>
  </si>
  <si>
    <t xml:space="preserve">campaign</t>
  </si>
  <si>
    <t xml:space="preserve">campaigns</t>
  </si>
  <si>
    <t xml:space="preserve">Entire model: name, type, audience_filter, template_ref, schedule, status, sent_count, open_rate, click_rate</t>
  </si>
  <si>
    <t xml:space="preserve">Campaign/marketing module missing</t>
  </si>
  <si>
    <t xml:space="preserve">broadcastGroup</t>
  </si>
  <si>
    <t xml:space="preserve">broadcast_groups</t>
  </si>
  <si>
    <t xml:space="preserve">Entire model: name, type, member_filter, members[], metadata</t>
  </si>
  <si>
    <t xml:space="preserve">Broadcast targeting missing</t>
  </si>
  <si>
    <t xml:space="preserve">emailTemplate</t>
  </si>
  <si>
    <t xml:space="preserve">email_templates</t>
  </si>
  <si>
    <t xml:space="preserve">Entire model: name, subject, html_body, design_json (Unlayer), category, variables[]</t>
  </si>
  <si>
    <t xml:space="preserve">Email template editor/storage missing</t>
  </si>
  <si>
    <t xml:space="preserve">paymentGateway</t>
  </si>
  <si>
    <t xml:space="preserve">payment_gateways</t>
  </si>
  <si>
    <t xml:space="preserve">PaymentMethod + PaymentTransaction + IdempotencyKey</t>
  </si>
  <si>
    <t xml:space="preserve">Entire model: provider, config, supported_methods[], fees, enabled, test_mode</t>
  </si>
  <si>
    <t xml:space="preserve">Sprint 2.5: 30-payments.prisma + payment processor</t>
  </si>
  <si>
    <t xml:space="preserve">RG - Rohan</t>
  </si>
  <si>
    <t xml:space="preserve">codGateway</t>
  </si>
  <si>
    <t xml:space="preserve">cod_gateways</t>
  </si>
  <si>
    <t xml:space="preserve">CODCollection (in 30-payments.prisma)</t>
  </si>
  <si>
    <t xml:space="preserve">Entire model: enabled, verification_required, max_amount, collection_rules, reconciliation</t>
  </si>
  <si>
    <t xml:space="preserve">Sprint 2.5: CODGateway class in payments module</t>
  </si>
  <si>
    <t xml:space="preserve">paymentTransaction</t>
  </si>
  <si>
    <t xml:space="preserve">payment_transactions</t>
  </si>
  <si>
    <t xml:space="preserve">PaymentTransaction</t>
  </si>
  <si>
    <t xml:space="preserve">Entire model: order_ref, shipment_ref, amount, currency, method, status, provider_txn_id, refund_id, metadata</t>
  </si>
  <si>
    <t xml:space="preserve">No transaction tracking</t>
  </si>
  <si>
    <t xml:space="preserve">product</t>
  </si>
  <si>
    <t xml:space="preserve">products</t>
  </si>
  <si>
    <t xml:space="preserve">Product</t>
  </si>
  <si>
    <t xml:space="preserve">Entire model: shopify_product_id, title, variants[], images[], tags[], product_type, vendor, weight, dimensions, inventory_quantity, metafields</t>
  </si>
  <si>
    <t xml:space="preserve">No product catalog in new schema</t>
  </si>
  <si>
    <t xml:space="preserve">customer</t>
  </si>
  <si>
    <t xml:space="preserve">customers</t>
  </si>
  <si>
    <t xml:space="preserve">Customer</t>
  </si>
  <si>
    <t xml:space="preserve">Entire model: shopify_customer_id, name, email, phone, addresses[], orders_count, total_spent, tags[], notes, marketing_consent</t>
  </si>
  <si>
    <t xml:space="preserve">No customer model in new schema</t>
  </si>
  <si>
    <t xml:space="preserve">collection</t>
  </si>
  <si>
    <t xml:space="preserve">collections</t>
  </si>
  <si>
    <t xml:space="preserve">Entire model: shopify_collection_id, title, products[], type, sort_order, image</t>
  </si>
  <si>
    <t xml:space="preserve">No collection model</t>
  </si>
  <si>
    <t xml:space="preserve">NOT STARTED</t>
  </si>
  <si>
    <t xml:space="preserve">inventoryItem</t>
  </si>
  <si>
    <t xml:space="preserve">inventory_items</t>
  </si>
  <si>
    <t xml:space="preserve">Entire model: product_ref, location_ref, quantity, reserved, available, reorder_point, last_sync</t>
  </si>
  <si>
    <t xml:space="preserve">Sprint 2.4 - InventoryItem, InventoryMovement, Collection models</t>
  </si>
  <si>
    <t xml:space="preserve">proofOfDelivery</t>
  </si>
  <si>
    <t xml:space="preserve">Various (in old)</t>
  </si>
  <si>
    <t xml:space="preserve">ProofOfDelivery</t>
  </si>
  <si>
    <t xml:space="preserve">Model exists in new schema</t>
  </si>
  <si>
    <t xml:space="preserve">activityLog / history</t>
  </si>
  <si>
    <t xml:space="preserve">histories</t>
  </si>
  <si>
    <t xml:space="preserve">ActivityLog</t>
  </si>
  <si>
    <t xml:space="preserve">Entire model: entity_type, entity_id, action, actor, changes{}, timestamp, ip_address</t>
  </si>
  <si>
    <t xml:space="preserve">No audit trail / activity log model</t>
  </si>
  <si>
    <t xml:space="preserve">tableFilter</t>
  </si>
  <si>
    <t xml:space="preserve">table_filters</t>
  </si>
  <si>
    <t xml:space="preserve">Entire model: user_ref, table_name, filters[], sort_config, column_visibility, is_default</t>
  </si>
  <si>
    <t xml:space="preserve">P3</t>
  </si>
  <si>
    <t xml:space="preserve">Saved table views/filters per user</t>
  </si>
  <si>
    <t xml:space="preserve">NK - Neha</t>
  </si>
  <si>
    <t xml:space="preserve">customMetafield</t>
  </si>
  <si>
    <t xml:space="preserve">custom_metafields</t>
  </si>
  <si>
    <t xml:space="preserve">Entire model: entity_type, entity_id, namespace, key, value, type</t>
  </si>
  <si>
    <t xml:space="preserve">Sprint 2.4 - Metafield + MetafieldDefinition models</t>
  </si>
  <si>
    <t xml:space="preserve">widget</t>
  </si>
  <si>
    <t xml:space="preserve">widgets</t>
  </si>
  <si>
    <t xml:space="preserve">Entire model: type, config, position, styling, isActive, target_pages[]</t>
  </si>
  <si>
    <t xml:space="preserve">Checkout widget configuration missing</t>
  </si>
  <si>
    <t xml:space="preserve">supportTicket</t>
  </si>
  <si>
    <t xml:space="preserve">support_tickets</t>
  </si>
  <si>
    <t xml:space="preserve">Entire model: subject, description, status, priority, category, assignee, messages[], attachments[]</t>
  </si>
  <si>
    <t xml:space="preserve">Support ticket system missing</t>
  </si>
  <si>
    <t xml:space="preserve">featureRequest</t>
  </si>
  <si>
    <t xml:space="preserve">feature_requests</t>
  </si>
  <si>
    <t xml:space="preserve">Entire model: title, description, status, votes, category</t>
  </si>
  <si>
    <t xml:space="preserve">Feature request tracking missing</t>
  </si>
  <si>
    <t xml:space="preserve">storeQuota</t>
  </si>
  <si>
    <t xml:space="preserve">store_quotas</t>
  </si>
  <si>
    <t xml:space="preserve">Shop.planTier + billing/index.ts</t>
  </si>
  <si>
    <t xml:space="preserve">Entire model: plan_ref, orders_limit, shipments_limit, api_calls_limit, storage_limit, current_usage{}</t>
  </si>
  <si>
    <t xml:space="preserve">Usage metering / quota enforcement missing</t>
  </si>
  <si>
    <t xml:space="preserve">billingPlan</t>
  </si>
  <si>
    <t xml:space="preserve">billing_plans</t>
  </si>
  <si>
    <t xml:space="preserve">PLANS constant (billing module)</t>
  </si>
  <si>
    <t xml:space="preserve">Entire model: name, price, interval, features[], limits{}, trial_days, is_active</t>
  </si>
  <si>
    <t xml:space="preserve">Billing plan catalog missing</t>
  </si>
  <si>
    <t xml:space="preserve">billingSubscription</t>
  </si>
  <si>
    <t xml:space="preserve">billing_subscriptions</t>
  </si>
  <si>
    <t xml:space="preserve">Shop.planTier + billing routes</t>
  </si>
  <si>
    <t xml:space="preserve">Entire model: shop_ref, plan_ref, status, current_period_start, current_period_end, cancelled_at, shopify_charge_id</t>
  </si>
  <si>
    <t xml:space="preserve">Subscription management missing</t>
  </si>
  <si>
    <t xml:space="preserve">Feature Area</t>
  </si>
  <si>
    <t xml:space="preserve">Old Frontend Page(s)</t>
  </si>
  <si>
    <t xml:space="preserve">New Dashboard Page</t>
  </si>
  <si>
    <t xml:space="preserve">Missing Capabilities</t>
  </si>
  <si>
    <t xml:space="preserve">Dashboard / Home</t>
  </si>
  <si>
    <t xml:space="preserve">home/index.js + fullAnalytics</t>
  </si>
  <si>
    <t xml:space="preserve">/</t>
  </si>
  <si>
    <t xml:space="preserve">Real-time sync status, data syncing banner, video tutorials, Polaris Viz charts, feature timeline</t>
  </si>
  <si>
    <t xml:space="preserve">Orders List</t>
  </si>
  <si>
    <t xml:space="preserve">orders/index.js</t>
  </si>
  <si>
    <t xml:space="preserve">/orders + /orders/create + /orders/[id] + /orders/bulk + /orders/import</t>
  </si>
  <si>
    <t xml:space="preserve">Map view (Leaflet), CSV import modal, bulk actions, advanced filter presets, saved views</t>
  </si>
  <si>
    <t xml:space="preserve">DM - Dev</t>
  </si>
  <si>
    <t xml:space="preserve">Order Creation</t>
  </si>
  <si>
    <t xml:space="preserve">create-order/index.js</t>
  </si>
  <si>
    <t xml:space="preserve">/orders/create</t>
  </si>
  <si>
    <t xml:space="preserve">Manual order creation form: customer details, line items, address, time slot, payment method, notes</t>
  </si>
  <si>
    <t xml:space="preserve">Order Details</t>
  </si>
  <si>
    <t xml:space="preserve">order-details/[...slug].js</t>
  </si>
  <si>
    <t xml:space="preserve">/orders/[id]</t>
  </si>
  <si>
    <t xml:space="preserve">Full page view, shipment-in-order view, price breakdown, order tags editor, fulfillment actions, refund actions</t>
  </si>
  <si>
    <t xml:space="preserve">Shipments List</t>
  </si>
  <si>
    <t xml:space="preserve">shipments/index.js + local-delivery/shipments + store-pickup/shipments + standard-delivery/shipments</t>
  </si>
  <si>
    <t xml:space="preserve">/shipments</t>
  </si>
  <si>
    <t xml:space="preserve">Entire shipment management: list, filters, map view, status tracking, bulk operations, multi-delivery-method views</t>
  </si>
  <si>
    <t xml:space="preserve">Shipment Details</t>
  </si>
  <si>
    <t xml:space="preserve">shipment-details/index.js + variants</t>
  </si>
  <si>
    <t xml:space="preserve">Full shipment detail: items, price breakdown, documents/POD, tracking notes, SMS confirmation, payment transactions, more actions | Sprint 2.4 - Shipment detail page</t>
  </si>
  <si>
    <t xml:space="preserve">Local Delivery Orders</t>
  </si>
  <si>
    <t xml:space="preserve">local-delivery/orders/index.js</t>
  </si>
  <si>
    <t xml:space="preserve">/orders/local</t>
  </si>
  <si>
    <t xml:space="preserve">Delivery-method-specific order views with method-specific filters and actions</t>
  </si>
  <si>
    <t xml:space="preserve">Store Pickup</t>
  </si>
  <si>
    <t xml:space="preserve">store-pickup/* (4 pages)</t>
  </si>
  <si>
    <t xml:space="preserve">Store pickup workflow: orders, shipments, details, ready-for-pickup actions | Sprint 2.4 - Multi-store management</t>
  </si>
  <si>
    <t xml:space="preserve">Standard Delivery</t>
  </si>
  <si>
    <t xml:space="preserve">standard-delivery/* (4 pages)</t>
  </si>
  <si>
    <t xml:space="preserve">Standard shipping workflow: orders, shipments, details, carrier assignment</t>
  </si>
  <si>
    <t xml:space="preserve">Routes List</t>
  </si>
  <si>
    <t xml:space="preserve">local-delivery/routes/index.js + routes/index.js</t>
  </si>
  <si>
    <t xml:space="preserve">/routes + /routes/create + /routes/[id] + /routes/[id]/edit</t>
  </si>
  <si>
    <t xml:space="preserve">Route table pagination, search, timeline view, shipping label printing (4x6), CSV export, route claiming</t>
  </si>
  <si>
    <t xml:space="preserve">Route Create</t>
  </si>
  <si>
    <t xml:space="preserve">routes/create/index.js</t>
  </si>
  <si>
    <t xml:space="preserve">/routes/create</t>
  </si>
  <si>
    <t xml:space="preserve">Route creation wizard: select shipments, assign driver, set start/end location, drag-and-drop ordering, map preview</t>
  </si>
  <si>
    <t xml:space="preserve">Route Edit</t>
  </si>
  <si>
    <t xml:space="preserve">routes/edit/index.js</t>
  </si>
  <si>
    <t xml:space="preserve">/routes/[id]/edit</t>
  </si>
  <si>
    <t xml:space="preserve">Route editing: reorder stops, add/remove shipments, re-optimize, map directions view</t>
  </si>
  <si>
    <t xml:space="preserve">Add to Route</t>
  </si>
  <si>
    <t xml:space="preserve">routes/add-to-route/index.js</t>
  </si>
  <si>
    <t xml:space="preserve">/routes/[id]/assign</t>
  </si>
  <si>
    <t xml:space="preserve">Shipment-to-route assignment flow</t>
  </si>
  <si>
    <t xml:space="preserve">Drivers</t>
  </si>
  <si>
    <t xml:space="preserve">— (managed via users)</t>
  </si>
  <si>
    <t xml:space="preserve">/drivers</t>
  </si>
  <si>
    <t xml:space="preserve">Driver detail view, assignment history, performance stats, document uploads, FCM token management</t>
  </si>
  <si>
    <t xml:space="preserve">Delivery Zones</t>
  </si>
  <si>
    <t xml:space="preserve">zones/index.js + zones/create</t>
  </si>
  <si>
    <t xml:space="preserve">/zones</t>
  </si>
  <si>
    <t xml:space="preserve">Zone map drawing (Leaflet Draw), polygon boundary editing, zone-to-location association</t>
  </si>
  <si>
    <t xml:space="preserve">Time Slots</t>
  </si>
  <si>
    <t xml:space="preserve">— (part of shipping profile)</t>
  </si>
  <si>
    <t xml:space="preserve">/time-slots</t>
  </si>
  <si>
    <t xml:space="preserve">Capacity usage tracking, zone-specific slots, calendar visualization, cutoff time rules</t>
  </si>
  <si>
    <t xml:space="preserve">Locations</t>
  </si>
  <si>
    <t xml:space="preserve">locations/index.js + create + edit</t>
  </si>
  <si>
    <t xml:space="preserve">/locations</t>
  </si>
  <si>
    <t xml:space="preserve">Full location management: create/edit/list, working hours, pickup rules, delivery rules, map pin, zone association</t>
  </si>
  <si>
    <t xml:space="preserve">Shipping Profile</t>
  </si>
  <si>
    <t xml:space="preserve">shipping-profile/index.js + general-profile + edit</t>
  </si>
  <si>
    <t xml:space="preserve">/shipping-profiles + /shipping-profiles/[id]</t>
  </si>
  <si>
    <t xml:space="preserve">Shipping profile system: rate configuration, location attachment, calendar profiles, delivery method rules</t>
  </si>
  <si>
    <t xml:space="preserve">Settings</t>
  </si>
  <si>
    <t xml:space="preserve">settings/index.js (8+ tabs)</t>
  </si>
  <si>
    <t xml:space="preserve">/settings (hub + 6 sub-pages)</t>
  </si>
  <si>
    <t xml:space="preserve">Missing tabs: Inventory, Shopify sync, Webhook config, API keys, POS config, Mobile app config</t>
  </si>
  <si>
    <t xml:space="preserve">Notifications Config</t>
  </si>
  <si>
    <t xml:space="preserve">notifications/index.js</t>
  </si>
  <si>
    <t xml:space="preserve">/settings/notifications-config</t>
  </si>
  <si>
    <t xml:space="preserve">Missing: Email template editor (Unlayer), WhatsApp template management, SMS provider config, per-event configuration</t>
  </si>
  <si>
    <t xml:space="preserve">— (keys-configuration)</t>
  </si>
  <si>
    <t xml:space="preserve">/integrations</t>
  </si>
  <si>
    <t xml:space="preserve">Missing: Provider credential forms, OAuth flows, health monitoring, usage metering display</t>
  </si>
  <si>
    <t xml:space="preserve">Analytics</t>
  </si>
  <si>
    <t xml:space="preserve">home/fullAnalytics.js</t>
  </si>
  <si>
    <t xml:space="preserve">/analytics</t>
  </si>
  <si>
    <t xml:space="preserve">Missing: Date range picker, order/shipment/inventory breakdown, sync status, Polaris Viz charts, export to CSV</t>
  </si>
  <si>
    <t xml:space="preserve">User Management</t>
  </si>
  <si>
    <t xml:space="preserve">users/index.js</t>
  </si>
  <si>
    <t xml:space="preserve">/settings/team</t>
  </si>
  <si>
    <t xml:space="preserve">Missing: Invite flow, role assignment, permission matrix, activity log per user</t>
  </si>
  <si>
    <t xml:space="preserve">Profile</t>
  </si>
  <si>
    <t xml:space="preserve">profile/index.js</t>
  </si>
  <si>
    <t xml:space="preserve">/profile</t>
  </si>
  <si>
    <t xml:space="preserve">User profile: avatar, personal info, password change, notification preferences, timezone, language</t>
  </si>
  <si>
    <t xml:space="preserve">Login / Auth</t>
  </si>
  <si>
    <t xml:space="preserve">login.js + join.js + reset-password.js</t>
  </si>
  <si>
    <t xml:space="preserve">/(auth)/login + register + forgot-password</t>
  </si>
  <si>
    <t xml:space="preserve">Authentication pages: login, registration, password reset, email verification</t>
  </si>
  <si>
    <t xml:space="preserve">Onboarding</t>
  </si>
  <si>
    <t xml:space="preserve">onboarding/* (5 pages)</t>
  </si>
  <si>
    <t xml:space="preserve">/onboarding</t>
  </si>
  <si>
    <t xml:space="preserve">Multi-step onboarding: cart plugin setup, shipping location, plan selection, fleet info, working hours</t>
  </si>
  <si>
    <t xml:space="preserve">Plans / Billing</t>
  </si>
  <si>
    <t xml:space="preserve">plans/index.js</t>
  </si>
  <si>
    <t xml:space="preserve">/settings/billing</t>
  </si>
  <si>
    <t xml:space="preserve">Plan display, upgrade/downgrade flow, usage meters, invoice history</t>
  </si>
  <si>
    <t xml:space="preserve">Payment Transactions</t>
  </si>
  <si>
    <t xml:space="preserve">payment-transactions/index.js</t>
  </si>
  <si>
    <t xml:space="preserve">/payments</t>
  </si>
  <si>
    <t xml:space="preserve">Transaction history, COD reconciliation, refund tracking</t>
  </si>
  <si>
    <t xml:space="preserve">Tracking Config</t>
  </si>
  <si>
    <t xml:space="preserve">tracking/index.js</t>
  </si>
  <si>
    <t xml:space="preserve">Customer tracking page builder: branding, layout, status messages | Sprint 2.4 - Tracking page config</t>
  </si>
  <si>
    <t xml:space="preserve">Mobile App Config</t>
  </si>
  <si>
    <t xml:space="preserve">mobile-apps/index.js</t>
  </si>
  <si>
    <t xml:space="preserve">Driver app settings: branding, feature toggles, notification config</t>
  </si>
  <si>
    <t xml:space="preserve">Theme / Widget Config</t>
  </si>
  <si>
    <t xml:space="preserve">theme-configuration/index.js</t>
  </si>
  <si>
    <t xml:space="preserve">Checkout widget customizer: colors, layout, display rules | Sprint 2.4 - Widget/theme config</t>
  </si>
  <si>
    <t xml:space="preserve">Stores Management</t>
  </si>
  <si>
    <t xml:space="preserve">stores/index.js</t>
  </si>
  <si>
    <t xml:space="preserve">Multi-store management for org-level users | Sprint 2.4 - Multi-store management</t>
  </si>
  <si>
    <t xml:space="preserve">Support</t>
  </si>
  <si>
    <t xml:space="preserve">support.js + meet/index.js</t>
  </si>
  <si>
    <t xml:space="preserve">In-app support: ticket creation, Cal.com scheduling, help articles | Sprint 2.4 - Help center</t>
  </si>
  <si>
    <t xml:space="preserve">Customers</t>
  </si>
  <si>
    <t xml:space="preserve">— (none)</t>
  </si>
  <si>
    <t xml:space="preserve">/customers</t>
  </si>
  <si>
    <t xml:space="preserve">Full customer management</t>
  </si>
  <si>
    <t xml:space="preserve">Products</t>
  </si>
  <si>
    <t xml:space="preserve">/products</t>
  </si>
  <si>
    <t xml:space="preserve">Product catalog + sync</t>
  </si>
  <si>
    <t xml:space="preserve">Calendar</t>
  </si>
  <si>
    <t xml:space="preserve">/calendar</t>
  </si>
  <si>
    <t xml:space="preserve">Delivery calendar view</t>
  </si>
  <si>
    <t xml:space="preserve">Activity Log</t>
  </si>
  <si>
    <t xml:space="preserve">/activity</t>
  </si>
  <si>
    <t xml:space="preserve">Audit trail viewer</t>
  </si>
  <si>
    <t xml:space="preserve">Shipping Profiles</t>
  </si>
  <si>
    <t xml:space="preserve">/shipping-profiles</t>
  </si>
  <si>
    <t xml:space="preserve">Profile management</t>
  </si>
  <si>
    <t xml:space="preserve">Delivery Ops</t>
  </si>
  <si>
    <t xml:space="preserve">Notifications</t>
  </si>
  <si>
    <t xml:space="preserve">/notifications</t>
  </si>
  <si>
    <t xml:space="preserve">Notification center</t>
  </si>
  <si>
    <t xml:space="preserve">Service Domain</t>
  </si>
  <si>
    <t xml:space="preserve">Old Services (lmd-oms-v3)</t>
  </si>
  <si>
    <t xml:space="preserve">New API Routes (Fastify)</t>
  </si>
  <si>
    <t xml:space="preserve">Key Endpoints Missing</t>
  </si>
  <si>
    <t xml:space="preserve">Authentication</t>
  </si>
  <si>
    <t xml:space="preserve">users/userService (JWT + cookie sessions)</t>
  </si>
  <si>
    <t xml:space="preserve">routes/auth.ts</t>
  </si>
  <si>
    <t xml:space="preserve">Google OAuth, password reset flow, email verification, 2FA, refresh token rotation, session management</t>
  </si>
  <si>
    <t xml:space="preserve">Order CRUD</t>
  </si>
  <si>
    <t xml:space="preserve">orders/orderService + orderCountService</t>
  </si>
  <si>
    <t xml:space="preserve">routes/orders.ts</t>
  </si>
  <si>
    <t xml:space="preserve">Manual order creation, order import (CSV), bulk status update, order merge/split, refund initiation, fulfillment creation</t>
  </si>
  <si>
    <t xml:space="preserve">Shipment Lifecycle</t>
  </si>
  <si>
    <t xml:space="preserve">shipment/* (18 service files)</t>
  </si>
  <si>
    <t xml:space="preserve">Entire shipment domain: create from order, status transitions, assign to route, label generation, tracking updates, documents, payment tracking, activity log</t>
  </si>
  <si>
    <t xml:space="preserve">Sprint 2.4 - FileStorage (local + S3)</t>
  </si>
  <si>
    <t xml:space="preserve">Route Optimization</t>
  </si>
  <si>
    <t xml:space="preserve">serviceBus/mapbox + locationService/mapboxService + googleMapService</t>
  </si>
  <si>
    <t xml:space="preserve">packages/core/src/route-optimizer/ (5 files)</t>
  </si>
  <si>
    <t xml:space="preserve">Nearest-neighbor, 2-opt, Clarke-Wright algorithms; ETA calculation; distance matrix</t>
  </si>
  <si>
    <t xml:space="preserve">Route Management</t>
  </si>
  <si>
    <t xml:space="preserve">shipment/shipmentRoutes + shipmentRouteDirection</t>
  </si>
  <si>
    <t xml:space="preserve">routes/routes.ts</t>
  </si>
  <si>
    <t xml:space="preserve">Route CRUD exists but missing: optimization integration, direction rendering, stop reordering, driver notification on assignment, route claiming, label printing</t>
  </si>
  <si>
    <t xml:space="preserve">Location/Warehouse Mgmt</t>
  </si>
  <si>
    <t xml:space="preserve">— (via storeDetail)</t>
  </si>
  <si>
    <t xml:space="preserve">routes/locations-v2.ts (13 endpoints)</t>
  </si>
  <si>
    <t xml:space="preserve">Working hours, capacity, zone associations, nearest location (Haversine)</t>
  </si>
  <si>
    <t xml:space="preserve">profiles/shippingProfile + calenderProfile</t>
  </si>
  <si>
    <t xml:space="preserve">Rate calculation engine, calendar rules, delivery windows, processing times, conditional rules, zone-based pricing</t>
  </si>
  <si>
    <t xml:space="preserve">Delivery Rules Engine</t>
  </si>
  <si>
    <t xml:space="preserve">shipment/shipmentRules + calenderRules/*</t>
  </si>
  <si>
    <t xml:space="preserve">Distance-based, weight-based, zone-based, time-based, product-category rules; min order; same-day/next-day logic</t>
  </si>
  <si>
    <t xml:space="preserve">Sprint 2.4 - Delivery rules engine</t>
  </si>
  <si>
    <t xml:space="preserve">Carrier Rate Calculation</t>
  </si>
  <si>
    <t xml:space="preserve">carrierService/* (6 files)</t>
  </si>
  <si>
    <t xml:space="preserve">routes/carriers.ts</t>
  </si>
  <si>
    <t xml:space="preserve">Rate calculator engine, natural load balancing, Shopify carrier service callback, multi-carrier comparison</t>
  </si>
  <si>
    <t xml:space="preserve">Notification Dispatch</t>
  </si>
  <si>
    <t xml:space="preserve">notifications/* (9 files)</t>
  </si>
  <si>
    <t xml:space="preserve">Email (SendGrid/SMTP), SMS (Twilio), WhatsApp (Meta Cloud API), Push (Firebase), Slack — all channel dispatchers</t>
  </si>
  <si>
    <t xml:space="preserve">Notification Templates</t>
  </si>
  <si>
    <t xml:space="preserve">campaign/emailTemplate + whatsappTemplate</t>
  </si>
  <si>
    <t xml:space="preserve">Template CRUD, Unlayer email editor, WhatsApp template sync, variable interpolation, multi-language</t>
  </si>
  <si>
    <t xml:space="preserve">Sprint 2.4 - Campaign manager + template engine</t>
  </si>
  <si>
    <t xml:space="preserve">Webhook Processing</t>
  </si>
  <si>
    <t xml:space="preserve">webhooks/* (7 files) + 5 webhook servers</t>
  </si>
  <si>
    <t xml:space="preserve">routes/shopify-webhooks.ts</t>
  </si>
  <si>
    <t xml:space="preserve">Missing dedicated queue processors for orders, products, customers, inventory; missing retry logic, dead letter queues</t>
  </si>
  <si>
    <t xml:space="preserve">Shopify Sync</t>
  </si>
  <si>
    <t xml:space="preserve">shopify/* (15 files)</t>
  </si>
  <si>
    <t xml:space="preserve">Order sync, product sync, customer sync, inventory sync, collection sync, metafield ops, cart validation, fulfillment routing, GraphQL helpers</t>
  </si>
  <si>
    <t xml:space="preserve">tracking/* (3 files) + Firebase</t>
  </si>
  <si>
    <t xml:space="preserve">Firebase real-time driver location, customer tracking page updates, driver notification triggers, WebSocket/SSE fallback</t>
  </si>
  <si>
    <t xml:space="preserve">Payment Processing</t>
  </si>
  <si>
    <t xml:space="preserve">cod/* + paymentGateways/*</t>
  </si>
  <si>
    <t xml:space="preserve">routes/payment-methods.ts + packages/core/src/payments/</t>
  </si>
  <si>
    <t xml:space="preserve">COD gateway implemented; abstract PaymentGateway for Stripe/Razorpay; idempotent processor</t>
  </si>
  <si>
    <t xml:space="preserve">Analytics Engine</t>
  </si>
  <si>
    <t xml:space="preserve">analytics/dashboard + analyticsEvent/*</t>
  </si>
  <si>
    <t xml:space="preserve">routes/analytics-v2.ts + packages/core/src/analytics/</t>
  </si>
  <si>
    <t xml:space="preserve">Event tracker, time-series aggregator, dashboard widgets; 6 API endpoints</t>
  </si>
  <si>
    <t xml:space="preserve">Campaign System</t>
  </si>
  <si>
    <t xml:space="preserve">campaign/* (3 files)</t>
  </si>
  <si>
    <t xml:space="preserve">Campaign creation, audience segmentation, broadcast groups, send scheduling, open/click tracking</t>
  </si>
  <si>
    <t xml:space="preserve">File Management</t>
  </si>
  <si>
    <t xml:space="preserve">Files/* (2 files)</t>
  </si>
  <si>
    <t xml:space="preserve">File upload/download, CSV import/export, POD photo storage, document management</t>
  </si>
  <si>
    <t xml:space="preserve">Billing &amp; Plans</t>
  </si>
  <si>
    <t xml:space="preserve">store/billingService + plansService</t>
  </si>
  <si>
    <t xml:space="preserve">routes/billing.ts</t>
  </si>
  <si>
    <t xml:space="preserve">Shopify billing API integration, plan management, usage metering, upgrade/downgrade, invoice generation</t>
  </si>
  <si>
    <t xml:space="preserve">User/Role Management</t>
  </si>
  <si>
    <t xml:space="preserve">users/* (5 files)</t>
  </si>
  <si>
    <t xml:space="preserve">routes/users.ts</t>
  </si>
  <si>
    <t xml:space="preserve">Missing: user invitation flow, role assignment API, permission CRUD, activity logging per user</t>
  </si>
  <si>
    <t xml:space="preserve">Store Management</t>
  </si>
  <si>
    <t xml:space="preserve">store/* (13 files)</t>
  </si>
  <si>
    <t xml:space="preserve">routes/shops.ts</t>
  </si>
  <si>
    <t xml:space="preserve">Missing: store settings CRUD, API provider config, table filter persistence, inventory config, billing config, installer tracking</t>
  </si>
  <si>
    <t xml:space="preserve">History/Audit Trail</t>
  </si>
  <si>
    <t xml:space="preserve">history/history</t>
  </si>
  <si>
    <t xml:space="preserve">Activity logging, entity change tracking, audit trail queries, export</t>
  </si>
  <si>
    <t xml:space="preserve">Custom Metafields</t>
  </si>
  <si>
    <t xml:space="preserve">customMetafield/customMetafield</t>
  </si>
  <si>
    <t xml:space="preserve">Custom field definitions, per-entity custom data, metafield CRUD</t>
  </si>
  <si>
    <t xml:space="preserve">Sprint 2.4 - Custom metafields manager</t>
  </si>
  <si>
    <t xml:space="preserve">POS Integration</t>
  </si>
  <si>
    <t xml:space="preserve">pos/posCustomFormService + publicService/posPluginService</t>
  </si>
  <si>
    <t xml:space="preserve">Point of sale: custom form builder, POS checkout, POS-specific shipping profiles</t>
  </si>
  <si>
    <t xml:space="preserve">Public APIs (Cart Plugin)</t>
  </si>
  <si>
    <t xml:space="preserve">publicService/cartPluginService</t>
  </si>
  <si>
    <t xml:space="preserve">apps/tracking-page/src/components/ (date-picker, time-slot, rate-calc, cart-widget)</t>
  </si>
  <si>
    <t xml:space="preserve">Storefront cart plugin: delivery date picker, time slot availability, rate calculation for checkout</t>
  </si>
  <si>
    <t xml:space="preserve">Public Tracking API</t>
  </si>
  <si>
    <t xml:space="preserve">publicService/publicService + tracking/*</t>
  </si>
  <si>
    <t xml:space="preserve">routes/tracking.ts</t>
  </si>
  <si>
    <t xml:space="preserve">Missing: branded tracking page data, real-time status updates, delivery photo display, rating submission</t>
  </si>
  <si>
    <t xml:space="preserve">Event Scheduler</t>
  </si>
  <si>
    <t xml:space="preserve">scheduler/* (2 files) + queue server</t>
  </si>
  <si>
    <t xml:space="preserve">Scheduled event triggers, cron jobs, automated status updates, reminder notifications</t>
  </si>
  <si>
    <t xml:space="preserve">AM - Aisha</t>
  </si>
  <si>
    <t xml:space="preserve">CRM Integration</t>
  </si>
  <si>
    <t xml:space="preserve">crm/hubspot</t>
  </si>
  <si>
    <t xml:space="preserve">HubSpot integration, contact sync, deal tracking</t>
  </si>
  <si>
    <t xml:space="preserve">Google Calendar</t>
  </si>
  <si>
    <t xml:space="preserve">googleCalender/googleCalenderService</t>
  </si>
  <si>
    <t xml:space="preserve">Calendar integration for delivery scheduling</t>
  </si>
  <si>
    <t xml:space="preserve">Super Admin</t>
  </si>
  <si>
    <t xml:space="preserve">superAdmin/analytics + controllers/super-admin/*</t>
  </si>
  <si>
    <t xml:space="preserve">Cross-store analytics, store management, campaign management, billing admin, webhook admin</t>
  </si>
  <si>
    <t xml:space="preserve">Integration Worker</t>
  </si>
  <si>
    <t xml:space="preserve">— (new)</t>
  </si>
  <si>
    <t xml:space="preserve">workers/integration-worker.ts</t>
  </si>
  <si>
    <t xml:space="preserve">Integration event processing worker exists</t>
  </si>
  <si>
    <t xml:space="preserve">Notification Worker</t>
  </si>
  <si>
    <t xml:space="preserve">workers/notification-worker.ts</t>
  </si>
  <si>
    <t xml:space="preserve">Notification dispatch worker exists (shell)</t>
  </si>
  <si>
    <t xml:space="preserve">Optimization Worker</t>
  </si>
  <si>
    <t xml:space="preserve">workers/optimization-worker.ts</t>
  </si>
  <si>
    <t xml:space="preserve">Route optimization worker exists (shell)</t>
  </si>
  <si>
    <t xml:space="preserve">Settings Management</t>
  </si>
  <si>
    <t xml:space="preserve">routes/settings.ts</t>
  </si>
  <si>
    <t xml:space="preserve">— (all implemented)</t>
  </si>
  <si>
    <t xml:space="preserve">Backend</t>
  </si>
  <si>
    <t xml:space="preserve">Drivers CRUD</t>
  </si>
  <si>
    <t xml:space="preserve">— (partial)</t>
  </si>
  <si>
    <t xml:space="preserve">routes/drivers.ts</t>
  </si>
  <si>
    <t xml:space="preserve">Zones CRUD</t>
  </si>
  <si>
    <t xml:space="preserve">routes/zones.ts</t>
  </si>
  <si>
    <t xml:space="preserve">routes/time-slots.ts</t>
  </si>
  <si>
    <t xml:space="preserve">Locations CRUD</t>
  </si>
  <si>
    <t xml:space="preserve">routes/locations.ts</t>
  </si>
  <si>
    <t xml:space="preserve">Shipments CRUD</t>
  </si>
  <si>
    <t xml:space="preserve">routes/shipments.ts</t>
  </si>
  <si>
    <t xml:space="preserve">Customers CRUD</t>
  </si>
  <si>
    <t xml:space="preserve">routes/customers.ts</t>
  </si>
  <si>
    <t xml:space="preserve">Products CRUD</t>
  </si>
  <si>
    <t xml:space="preserve">routes/products.ts</t>
  </si>
  <si>
    <t xml:space="preserve">Payments CRUD</t>
  </si>
  <si>
    <t xml:space="preserve">routes/payments.ts</t>
  </si>
  <si>
    <t xml:space="preserve">Calendar Rules</t>
  </si>
  <si>
    <t xml:space="preserve">routes/calendar-rules.ts</t>
  </si>
  <si>
    <t xml:space="preserve">routes/shipping-profiles.ts</t>
  </si>
  <si>
    <t xml:space="preserve">routes/analytics.ts</t>
  </si>
  <si>
    <t xml:space="preserve">Activity Logs</t>
  </si>
  <si>
    <t xml:space="preserve">routes/activity-logs.ts</t>
  </si>
  <si>
    <t xml:space="preserve">routes/notification-templates.ts</t>
  </si>
  <si>
    <t xml:space="preserve">routes/integrations.ts</t>
  </si>
  <si>
    <t xml:space="preserve">Shopify</t>
  </si>
  <si>
    <t xml:space="preserve">Organizations</t>
  </si>
  <si>
    <t xml:space="preserve">routes/orgs.ts</t>
  </si>
  <si>
    <t xml:space="preserve">Health Checks</t>
  </si>
  <si>
    <t xml:space="preserve">routes/health.ts</t>
  </si>
  <si>
    <t xml:space="preserve">— (liveness + readiness + deep)</t>
  </si>
  <si>
    <t xml:space="preserve">Component</t>
  </si>
  <si>
    <t xml:space="preserve">Action Required</t>
  </si>
  <si>
    <t xml:space="preserve">Database</t>
  </si>
  <si>
    <t xml:space="preserve">MongoDB (Mongoose + speed-goose caching)</t>
  </si>
  <si>
    <t xml:space="preserve">PostgreSQL + Prisma 6</t>
  </si>
  <si>
    <t xml:space="preserve">Data migration scripts needed for existing customers</t>
  </si>
  <si>
    <t xml:space="preserve">Message Queue</t>
  </si>
  <si>
    <t xml:space="preserve">Azure Service Bus (9 queues)</t>
  </si>
  <si>
    <t xml:space="preserve">packages/core/src/queue/ (7 consumers + base class)</t>
  </si>
  <si>
    <t xml:space="preserve">BullMQ consumers: order-webhook, product-webhook, driver-tracking, event-scheduler + DLQ</t>
  </si>
  <si>
    <t xml:space="preserve">Cache Layer</t>
  </si>
  <si>
    <t xml:space="preserve">Redis (sessions + pub/sub + ORM cache)</t>
  </si>
  <si>
    <t xml:space="preserve">packages/core/src/cache/</t>
  </si>
  <si>
    <t xml:space="preserve">Redis client exists but caching strategy not implemented; need: session store, query cache, rate limiting, pub/sub for real-time</t>
  </si>
  <si>
    <t xml:space="preserve">Real-time</t>
  </si>
  <si>
    <t xml:space="preserve">Firebase Realtime Database + WebSocket</t>
  </si>
  <si>
    <t xml:space="preserve">Socket.io realtime layer</t>
  </si>
  <si>
    <t xml:space="preserve">Need real-time infrastructure: WebSocket/SSE server, driver location streaming, order status push to customers</t>
  </si>
  <si>
    <t xml:space="preserve">File Storage</t>
  </si>
  <si>
    <t xml:space="preserve">Local + cloud (implied)</t>
  </si>
  <si>
    <t xml:space="preserve">Sprint 2.4 - Local + S3 file storage</t>
  </si>
  <si>
    <t xml:space="preserve">Process Manager</t>
  </si>
  <si>
    <t xml:space="preserve">PM2 (12 processes)</t>
  </si>
  <si>
    <t xml:space="preserve">Single Fastify + BullMQ workers</t>
  </si>
  <si>
    <t xml:space="preserve">REDESIGNED</t>
  </si>
  <si>
    <t xml:space="preserve">Workers exist as stubs; need full implementations</t>
  </si>
  <si>
    <t xml:space="preserve">Geospatial</t>
  </si>
  <si>
    <t xml:space="preserve">Google Maps + Mapbox APIs</t>
  </si>
  <si>
    <t xml:space="preserve">geo-fence.ts + address.ts</t>
  </si>
  <si>
    <t xml:space="preserve">Re-enable PostGIS, implement geocoding service, distance matrix, route optimization API</t>
  </si>
  <si>
    <t xml:space="preserve">Email Provider</t>
  </si>
  <si>
    <t xml:space="preserve">SendGrid / SMTP (via notification service)</t>
  </si>
  <si>
    <t xml:space="preserve">email/providers + dispatch</t>
  </si>
  <si>
    <t xml:space="preserve">Email sending integration, template rendering, delivery tracking</t>
  </si>
  <si>
    <t xml:space="preserve">SMS Provider</t>
  </si>
  <si>
    <t xml:space="preserve">Twilio (via smsService)</t>
  </si>
  <si>
    <t xml:space="preserve">sms/providers + dispatch</t>
  </si>
  <si>
    <t xml:space="preserve">SMS sending, delivery receipts, phone number validation</t>
  </si>
  <si>
    <t xml:space="preserve">WhatsApp</t>
  </si>
  <si>
    <t xml:space="preserve">Meta Cloud API (via whatsApp services)</t>
  </si>
  <si>
    <t xml:space="preserve">WhatsApp Business API: template management, message sending, webhook handling</t>
  </si>
  <si>
    <t xml:space="preserve">Push Notifications</t>
  </si>
  <si>
    <t xml:space="preserve">Firebase Cloud Messaging</t>
  </si>
  <si>
    <t xml:space="preserve">push-handler.ts (FCM)</t>
  </si>
  <si>
    <t xml:space="preserve">FCM integration for driver app push notifications</t>
  </si>
  <si>
    <t xml:space="preserve">JWT + cookie sessions + Shopify session tokens</t>
  </si>
  <si>
    <t xml:space="preserve">JWT + requireAuth middleware</t>
  </si>
  <si>
    <t xml:space="preserve">Need: JWT implementation, refresh tokens, Shopify session bridge, dashboard auth middleware</t>
  </si>
  <si>
    <t xml:space="preserve">Rate Limiting</t>
  </si>
  <si>
    <t xml:space="preserve">stopcock library</t>
  </si>
  <si>
    <t xml:space="preserve">Sprint 2.4 - Token bucket rate limiter</t>
  </si>
  <si>
    <t xml:space="preserve">Monitoring</t>
  </si>
  <si>
    <t xml:space="preserve">Sentry + FullStory</t>
  </si>
  <si>
    <t xml:space="preserve">Sprint 2.4 - MetricsCollector + HealthCheckRegistry</t>
  </si>
  <si>
    <t xml:space="preserve">CI/CD</t>
  </si>
  <si>
    <t xml:space="preserve">Docker + AWS/Azure scripts</t>
  </si>
  <si>
    <t xml:space="preserve">Dockerfile + CI/CD + docker-compose</t>
  </si>
  <si>
    <t xml:space="preserve">Sprint 2.3 - GitHub Actions workflows</t>
  </si>
  <si>
    <t xml:space="preserve">Data Migration</t>
  </si>
  <si>
    <t xml:space="preserve">packages/core/src/migration/ (mongodb-adapter, transformers, runner-v2)</t>
  </si>
  <si>
    <t xml:space="preserve">MongoDB→PostgreSQL with idempotent upsert, checkpointing, 7 entity transformers</t>
  </si>
  <si>
    <t xml:space="preserve">PostGIS Extension</t>
  </si>
  <si>
    <t xml:space="preserve">N/A (used Google/Mapbox)</t>
  </si>
  <si>
    <t xml:space="preserve">packages/core/src/spatial/ (PostGIS queries + GeoJSON types)</t>
  </si>
  <si>
    <t xml:space="preserve">Parameterized SQL for ST_Distance, ST_Contains, ST_Within; Haversine fallback</t>
  </si>
  <si>
    <t xml:space="preserve">Cron / Scheduler</t>
  </si>
  <si>
    <t xml:space="preserve">PM2 cron + event scheduler queue</t>
  </si>
  <si>
    <t xml:space="preserve">Sprint 2.4 - Cron-based scheduler</t>
  </si>
  <si>
    <t xml:space="preserve">Logging</t>
  </si>
  <si>
    <t xml:space="preserve">Console + implied</t>
  </si>
  <si>
    <t xml:space="preserve">Structured logging (Pino), log aggregation, request tracing</t>
  </si>
  <si>
    <t xml:space="preserve">Encryption</t>
  </si>
  <si>
    <t xml:space="preserve">Implied for tokens</t>
  </si>
  <si>
    <t xml:space="preserve">Planned for credentials</t>
  </si>
  <si>
    <t xml:space="preserve">Need: credential encryption at rest (Integration model), token encryption, PII protection</t>
  </si>
  <si>
    <t xml:space="preserve">GDPR Compliance</t>
  </si>
  <si>
    <t xml:space="preserve">packages/core/src/compliance/</t>
  </si>
  <si>
    <t xml:space="preserve">— (anonymizer, consent, retention, audit)</t>
  </si>
  <si>
    <t xml:space="preserve">Data</t>
  </si>
  <si>
    <t xml:space="preserve">HMAC Webhook Verification</t>
  </si>
  <si>
    <t xml:space="preserve">middleware/hmac.ts</t>
  </si>
  <si>
    <t xml:space="preserve">— (Shopify HMAC validation)</t>
  </si>
  <si>
    <t xml:space="preserve">E2E Test Suites</t>
  </si>
  <si>
    <t xml:space="preserve">7 test files (4,439 lines)</t>
  </si>
  <si>
    <t xml:space="preserve">— (compliance, cache, API tests)</t>
  </si>
  <si>
    <t xml:space="preserve">QA</t>
  </si>
  <si>
    <t xml:space="preserve">Phase</t>
  </si>
  <si>
    <t xml:space="preserve">Sprint</t>
  </si>
  <si>
    <t xml:space="preserve">Work Item</t>
  </si>
  <si>
    <t xml:space="preserve">Category</t>
  </si>
  <si>
    <t xml:space="preserve">Est. Effort</t>
  </si>
  <si>
    <t xml:space="preserve">Dependencies</t>
  </si>
  <si>
    <t xml:space="preserve">Deliverable</t>
  </si>
  <si>
    <t xml:space="preserve">Phase 1: Foundation</t>
  </si>
  <si>
    <t xml:space="preserve">1-2</t>
  </si>
  <si>
    <t xml:space="preserve">Authentication system (JWT, login, register, password reset)</t>
  </si>
  <si>
    <t xml:space="preserve">Backend + Frontend</t>
  </si>
  <si>
    <t xml:space="preserve">2 weeks</t>
  </si>
  <si>
    <t xml:space="preserve">Auth middleware, login/register pages, session management</t>
  </si>
  <si>
    <t xml:space="preserve">PostGIS re-enable + geocoding service</t>
  </si>
  <si>
    <t xml:space="preserve">Backend + Infra</t>
  </si>
  <si>
    <t xml:space="preserve">1 week</t>
  </si>
  <si>
    <t xml:space="preserve">Spatial queries, point-in-polygon, distance calc</t>
  </si>
  <si>
    <t xml:space="preserve">Shipment model + migration</t>
  </si>
  <si>
    <t xml:space="preserve">Prisma schema + API routes for shipments</t>
  </si>
  <si>
    <t xml:space="preserve">2-3</t>
  </si>
  <si>
    <t xml:space="preserve">Location/Warehouse model + CRUD</t>
  </si>
  <si>
    <t xml:space="preserve">PostGIS</t>
  </si>
  <si>
    <t xml:space="preserve">Location management pages + API</t>
  </si>
  <si>
    <t xml:space="preserve">Calendar rules + delivery rules engine</t>
  </si>
  <si>
    <t xml:space="preserve">Scheduling engine, blackout dates, time windows</t>
  </si>
  <si>
    <t xml:space="preserve">3-4</t>
  </si>
  <si>
    <t xml:space="preserve">Shipping profile system</t>
  </si>
  <si>
    <t xml:space="preserve">Locations, Zones, Rules</t>
  </si>
  <si>
    <t xml:space="preserve">Rate calculation, profile management UI</t>
  </si>
  <si>
    <t xml:space="preserve">Phase 2: Core Ops</t>
  </si>
  <si>
    <t xml:space="preserve">5-6</t>
  </si>
  <si>
    <t xml:space="preserve">Order CRUD (full lifecycle + manual creation)</t>
  </si>
  <si>
    <t xml:space="preserve">Auth</t>
  </si>
  <si>
    <t xml:space="preserve">Order create page, detail page, status management</t>
  </si>
  <si>
    <t xml:space="preserve">Shipment lifecycle (create, track, deliver)</t>
  </si>
  <si>
    <t xml:space="preserve">3 weeks</t>
  </si>
  <si>
    <t xml:space="preserve">Shipment model, Orders</t>
  </si>
  <si>
    <t xml:space="preserve">Shipment pages, status transitions, POD</t>
  </si>
  <si>
    <t xml:space="preserve">6-7</t>
  </si>
  <si>
    <t xml:space="preserve">Route optimization (Mapbox/Google integration)</t>
  </si>
  <si>
    <t xml:space="preserve">PostGIS, Drivers</t>
  </si>
  <si>
    <t xml:space="preserve">Distance matrix, route optimization API</t>
  </si>
  <si>
    <t xml:space="preserve">7-8</t>
  </si>
  <si>
    <t xml:space="preserve">Route creation + editing UI</t>
  </si>
  <si>
    <t xml:space="preserve">Route optimization</t>
  </si>
  <si>
    <t xml:space="preserve">Route create/edit pages with map + drag/drop</t>
  </si>
  <si>
    <t xml:space="preserve">Webhook processing (order, product, customer, inventory)</t>
  </si>
  <si>
    <t xml:space="preserve">BullMQ</t>
  </si>
  <si>
    <t xml:space="preserve">Queue consumers for each Shopify webhook type</t>
  </si>
  <si>
    <t xml:space="preserve">8-9</t>
  </si>
  <si>
    <t xml:space="preserve">Shopify sync engine (orders, products, customers, inventory)</t>
  </si>
  <si>
    <t xml:space="preserve">Webhooks, Models</t>
  </si>
  <si>
    <t xml:space="preserve">Full bidirectional Shopify sync</t>
  </si>
  <si>
    <t xml:space="preserve">Phase 3: Comms</t>
  </si>
  <si>
    <t xml:space="preserve">10-11</t>
  </si>
  <si>
    <t xml:space="preserve">Email dispatch (SendGrid/SMTP)</t>
  </si>
  <si>
    <t xml:space="preserve">Email sending service + template rendering</t>
  </si>
  <si>
    <t xml:space="preserve">SMS dispatch (Twilio)</t>
  </si>
  <si>
    <t xml:space="preserve">SMS sending service</t>
  </si>
  <si>
    <t xml:space="preserve">11-12</t>
  </si>
  <si>
    <t xml:space="preserve">WhatsApp integration (Meta Cloud)</t>
  </si>
  <si>
    <t xml:space="preserve">WhatsApp template sync + message dispatch</t>
  </si>
  <si>
    <t xml:space="preserve">Push notifications (Firebase)</t>
  </si>
  <si>
    <t xml:space="preserve">FCM integration for driver app</t>
  </si>
  <si>
    <t xml:space="preserve">12-13</t>
  </si>
  <si>
    <t xml:space="preserve">Notification template editor</t>
  </si>
  <si>
    <t xml:space="preserve">Email service</t>
  </si>
  <si>
    <t xml:space="preserve">Unlayer email editor, template management UI</t>
  </si>
  <si>
    <t xml:space="preserve">Real-time driver tracking</t>
  </si>
  <si>
    <t xml:space="preserve">Firebase/WebSocket</t>
  </si>
  <si>
    <t xml:space="preserve">Live driver location on dashboard maps</t>
  </si>
  <si>
    <t xml:space="preserve">PAIR</t>
  </si>
  <si>
    <t xml:space="preserve">Cross-team</t>
  </si>
  <si>
    <t xml:space="preserve">Phase 4: Commerce</t>
  </si>
  <si>
    <t xml:space="preserve">14-15</t>
  </si>
  <si>
    <t xml:space="preserve">Product + Customer models + sync</t>
  </si>
  <si>
    <t xml:space="preserve">Shopify sync</t>
  </si>
  <si>
    <t xml:space="preserve">Product catalog, customer database</t>
  </si>
  <si>
    <t xml:space="preserve">Payment processing (COD + gateway)</t>
  </si>
  <si>
    <t xml:space="preserve">Orders, Shipments</t>
  </si>
  <si>
    <t xml:space="preserve">Payment gateway, COD, transaction tracking</t>
  </si>
  <si>
    <t xml:space="preserve">15-16</t>
  </si>
  <si>
    <t xml:space="preserve">Carrier rate calculation engine</t>
  </si>
  <si>
    <t xml:space="preserve">Shipping profiles</t>
  </si>
  <si>
    <t xml:space="preserve">Multi-carrier comparison, Shopify carrier callback</t>
  </si>
  <si>
    <t xml:space="preserve">Cart plugin / storefront widget</t>
  </si>
  <si>
    <t xml:space="preserve">Rates, Time slots</t>
  </si>
  <si>
    <t xml:space="preserve">Checkout date picker, rate display widget</t>
  </si>
  <si>
    <t xml:space="preserve">16-17</t>
  </si>
  <si>
    <t xml:space="preserve">Inventory tracking system</t>
  </si>
  <si>
    <t xml:space="preserve">Products, Locations</t>
  </si>
  <si>
    <t xml:space="preserve">Inventory by location, reorder points, sync</t>
  </si>
  <si>
    <t xml:space="preserve">Phase 5: Admin</t>
  </si>
  <si>
    <t xml:space="preserve">18-19</t>
  </si>
  <si>
    <t xml:space="preserve">Analytics engine + dashboard data</t>
  </si>
  <si>
    <t xml:space="preserve">Time-series aggregation, chart data APIs</t>
  </si>
  <si>
    <t xml:space="preserve">Billing &amp; plans system</t>
  </si>
  <si>
    <t xml:space="preserve">Shopify billing API</t>
  </si>
  <si>
    <t xml:space="preserve">Plan catalog, usage metering, upgrade flow</t>
  </si>
  <si>
    <t xml:space="preserve">19-20</t>
  </si>
  <si>
    <t xml:space="preserve">Audit trail / history system</t>
  </si>
  <si>
    <t xml:space="preserve">Activity logging, entity change tracking</t>
  </si>
  <si>
    <t xml:space="preserve">User invitation + RBAC</t>
  </si>
  <si>
    <t xml:space="preserve">Users model</t>
  </si>
  <si>
    <t xml:space="preserve">Invite flow, role assignment, permissions matrix</t>
  </si>
  <si>
    <t xml:space="preserve">20-21</t>
  </si>
  <si>
    <t xml:space="preserve">Onboarding flow</t>
  </si>
  <si>
    <t xml:space="preserve">Auth, Shipping profiles</t>
  </si>
  <si>
    <t xml:space="preserve">Multi-step setup wizard</t>
  </si>
  <si>
    <t xml:space="preserve">Super admin panel</t>
  </si>
  <si>
    <t xml:space="preserve">All models</t>
  </si>
  <si>
    <t xml:space="preserve">Cross-store management, billing admin</t>
  </si>
  <si>
    <t xml:space="preserve">Phase 6: Polish</t>
  </si>
  <si>
    <t xml:space="preserve">22-23</t>
  </si>
  <si>
    <t xml:space="preserve">Campaign / marketing module</t>
  </si>
  <si>
    <t xml:space="preserve">Campaign creation, audience targeting, broadcast</t>
  </si>
  <si>
    <t xml:space="preserve">Custom metafields system</t>
  </si>
  <si>
    <t xml:space="preserve">Custom field definitions, per-entity data</t>
  </si>
  <si>
    <t xml:space="preserve">23-24</t>
  </si>
  <si>
    <t xml:space="preserve">POS integration</t>
  </si>
  <si>
    <t xml:space="preserve">Products, Payments</t>
  </si>
  <si>
    <t xml:space="preserve">POS checkout, custom forms</t>
  </si>
  <si>
    <t xml:space="preserve">Map views (orders, shipments, routes on map)</t>
  </si>
  <si>
    <t xml:space="preserve">PostGIS, Leaflet</t>
  </si>
  <si>
    <t xml:space="preserve">Leaflet map components with marker clusters</t>
  </si>
  <si>
    <t xml:space="preserve">24-25</t>
  </si>
  <si>
    <t xml:space="preserve">Data migration tools (MongoDB → PostgreSQL)</t>
  </si>
  <si>
    <t xml:space="preserve">Migration scripts, validation, rollback</t>
  </si>
  <si>
    <t xml:space="preserve">CI/CD, Docker, monitoring</t>
  </si>
  <si>
    <t xml:space="preserve">Docker builds, Sentry, Pino logging, deployment</t>
  </si>
  <si>
    <t xml:space="preserve">Gap Statistics Summary</t>
  </si>
  <si>
    <t xml:space="preserve">SPRINT PROGRESS (as of Sprint 2.6)</t>
  </si>
  <si>
    <t xml:space="preserve">Metric</t>
  </si>
  <si>
    <t xml:space="preserve">Sprint 1.1</t>
  </si>
  <si>
    <t xml:space="preserve">Sprint 1.2</t>
  </si>
  <si>
    <t xml:space="preserve">Sprint 2.0</t>
  </si>
  <si>
    <t xml:space="preserve">Sprint 2.1</t>
  </si>
  <si>
    <t xml:space="preserve">Sprint 2.3</t>
  </si>
  <si>
    <t xml:space="preserve">Sprint 2.4</t>
  </si>
  <si>
    <t xml:space="preserve">Sprint 2.5</t>
  </si>
  <si>
    <t xml:space="preserve">Sprint 2.6</t>
  </si>
  <si>
    <t xml:space="preserve">Source Files</t>
  </si>
  <si>
    <t xml:space="preserve">Lines of Code</t>
  </si>
  <si>
    <t xml:space="preserve">Dashboard Pages</t>
  </si>
  <si>
    <t xml:space="preserve">Prisma Models</t>
  </si>
  <si>
    <t xml:space="preserve">Core Modules</t>
  </si>
  <si>
    <t xml:space="preserve">Test Files</t>
  </si>
  <si>
    <t xml:space="preserve">SPRINT 2.5 DELIVERABLES</t>
  </si>
  <si>
    <t xml:space="preserve">Agent</t>
  </si>
  <si>
    <t xml:space="preserve">Files</t>
  </si>
  <si>
    <t xml:space="preserve">Lines</t>
  </si>
  <si>
    <t xml:space="preserve">Route optimization engine (3 algorithms + ETA)</t>
  </si>
  <si>
    <t xml:space="preserve">Shipping profiles detail, route assign, local orders pages</t>
  </si>
  <si>
    <t xml:space="preserve">Cart plugin components (date picker, time slots, rates)</t>
  </si>
  <si>
    <t xml:space="preserve">Queue consumers (4 types) + spatial queries module</t>
  </si>
  <si>
    <t xml:space="preserve">Payment processing (gateway + processor + Prisma)</t>
  </si>
  <si>
    <t xml:space="preserve">Shipping profiles core (rate calc, calendar, validator)</t>
  </si>
  <si>
    <t xml:space="preserve">Analytics engine (event tracker, aggregator, dashboard)</t>
  </si>
  <si>
    <t xml:space="preserve">KS - Kavitha</t>
  </si>
  <si>
    <t xml:space="preserve">8 test suites (optimizer, payments, analytics, queue, etc.)</t>
  </si>
  <si>
    <t xml:space="preserve">Migration framework + location management API</t>
  </si>
  <si>
    <t xml:space="preserve">SPRINT 2.6 DELIVERABLES</t>
  </si>
  <si>
    <t xml:space="preserve">Campaign, messaging, audit, permissions API routes</t>
  </si>
  <si>
    <t xml:space="preserve">7 test suites (RBAC, audit, dispatcher, crypto, etc.)</t>
  </si>
  <si>
    <t xml:space="preserve">Shopify campaigns, templates, audit log routes</t>
  </si>
  <si>
    <t xml:space="preserve">COMPLETION SUMMARY</t>
  </si>
  <si>
    <t xml:space="preserve">In Progress</t>
  </si>
  <si>
    <t xml:space="preserve">Remaining</t>
  </si>
  <si>
    <t xml:space="preserve">% Complete</t>
  </si>
  <si>
    <t xml:space="preserve">Data Models</t>
  </si>
  <si>
    <t xml:space="preserve">Feature Pages</t>
  </si>
  <si>
    <t xml:space="preserve">API Services</t>
  </si>
  <si>
    <t xml:space="preserve">Infrastructure</t>
  </si>
  <si>
    <t xml:space="preserve">Roadmap Items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</si>
</sst>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4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5A623"/>
      <name val="Arial"/>
      <family val="0"/>
      <charset val="1"/>
    </font>
    <font>
      <sz val="11"/>
      <color rgb="FFA0A0A0"/>
      <name val="Arial"/>
      <family val="0"/>
      <charset val="1"/>
    </font>
    <font>
      <b val="true"/>
      <sz val="11"/>
      <color rgb="FFF5A62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E0E0E0"/>
      <name val="Arial"/>
      <family val="0"/>
      <charset val="1"/>
    </font>
    <font>
      <b val="true"/>
      <sz val="11"/>
      <color rgb="FF60A5FA"/>
      <name val="Arial"/>
      <family val="0"/>
      <charset val="1"/>
    </font>
    <font>
      <b val="true"/>
      <sz val="11"/>
      <color rgb="FF818CF8"/>
      <name val="Arial"/>
      <family val="0"/>
      <charset val="1"/>
    </font>
    <font>
      <b val="true"/>
      <sz val="11"/>
      <color rgb="FF4ADE80"/>
      <name val="Arial"/>
      <family val="0"/>
      <charset val="1"/>
    </font>
    <font>
      <b val="true"/>
      <sz val="11"/>
      <color rgb="FF34D399"/>
      <name val="Arial"/>
      <family val="0"/>
      <charset val="1"/>
    </font>
    <font>
      <b val="true"/>
      <sz val="11"/>
      <color rgb="FFF472B6"/>
      <name val="Arial"/>
      <family val="0"/>
      <charset val="1"/>
    </font>
    <font>
      <b val="true"/>
      <sz val="11"/>
      <color rgb="FFFB923C"/>
      <name val="Arial"/>
      <family val="0"/>
      <charset val="1"/>
    </font>
    <font>
      <b val="true"/>
      <sz val="11"/>
      <color rgb="FFA78BFA"/>
      <name val="Arial"/>
      <family val="0"/>
      <charset val="1"/>
    </font>
    <font>
      <b val="true"/>
      <sz val="11"/>
      <color rgb="FFFACC15"/>
      <name val="Arial"/>
      <family val="0"/>
      <charset val="1"/>
    </font>
    <font>
      <b val="true"/>
      <sz val="14"/>
      <color rgb="FFF5A623"/>
      <name val="Arial"/>
      <family val="0"/>
      <charset val="1"/>
    </font>
    <font>
      <b val="true"/>
      <sz val="18"/>
      <color rgb="FFF5A623"/>
      <name val="Arial"/>
      <family val="0"/>
      <charset val="1"/>
    </font>
    <font>
      <sz val="10"/>
      <color rgb="FFFACC15"/>
      <name val="Arial"/>
      <family val="0"/>
      <charset val="1"/>
    </font>
    <font>
      <sz val="10"/>
      <color rgb="FFF87171"/>
      <name val="Arial"/>
      <family val="0"/>
      <charset val="1"/>
    </font>
    <font>
      <sz val="14"/>
      <color rgb="FF666666"/>
      <name val="Arial"/>
      <family val="0"/>
      <charset val="1"/>
    </font>
    <font>
      <b val="true"/>
      <sz val="10"/>
      <color rgb="FF60A5FA"/>
      <name val="Arial"/>
      <family val="0"/>
      <charset val="1"/>
    </font>
    <font>
      <sz val="10"/>
      <color rgb="FF888888"/>
      <name val="Arial"/>
      <family val="0"/>
      <charset val="1"/>
    </font>
    <font>
      <b val="true"/>
      <sz val="10"/>
      <color rgb="FFF5A623"/>
      <name val="Arial"/>
      <family val="0"/>
      <charset val="1"/>
    </font>
    <font>
      <sz val="10"/>
      <color rgb="FF60A5FA"/>
      <name val="Arial"/>
      <family val="0"/>
      <charset val="1"/>
    </font>
    <font>
      <b val="true"/>
      <sz val="10"/>
      <color rgb="FFF472B6"/>
      <name val="Arial"/>
      <family val="0"/>
      <charset val="1"/>
    </font>
    <font>
      <sz val="10"/>
      <color rgb="FF4ADE80"/>
      <name val="Arial"/>
      <family val="0"/>
      <charset val="1"/>
    </font>
    <font>
      <sz val="14"/>
      <color rgb="FF4ADE80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0"/>
      <color rgb="FF818CF8"/>
      <name val="Arial"/>
      <family val="0"/>
      <charset val="1"/>
    </font>
    <font>
      <sz val="11"/>
      <color rgb="FF006100"/>
      <name val="Cambria"/>
      <family val="0"/>
      <charset val="1"/>
    </font>
    <font>
      <b val="true"/>
      <sz val="10"/>
      <color rgb="FFFB923C"/>
      <name val="Arial"/>
      <family val="0"/>
      <charset val="1"/>
    </font>
    <font>
      <b val="true"/>
      <sz val="10"/>
      <color rgb="FF4ADE80"/>
      <name val="Arial"/>
      <family val="0"/>
      <charset val="1"/>
    </font>
    <font>
      <b val="true"/>
      <sz val="10"/>
      <color rgb="FF34D399"/>
      <name val="Arial"/>
      <family val="0"/>
      <charset val="1"/>
    </font>
    <font>
      <b val="true"/>
      <sz val="10"/>
      <color rgb="FFA78BFA"/>
      <name val="Arial"/>
      <family val="0"/>
      <charset val="1"/>
    </font>
    <font>
      <sz val="10"/>
      <color rgb="FFA78BFA"/>
      <name val="Arial"/>
      <family val="0"/>
      <charset val="1"/>
    </font>
    <font>
      <sz val="10"/>
      <color rgb="FFFB923C"/>
      <name val="Arial"/>
      <family val="0"/>
      <charset val="1"/>
    </font>
    <font>
      <b val="true"/>
      <sz val="11"/>
      <name val="Cambria"/>
      <family val="0"/>
      <charset val="1"/>
    </font>
    <font>
      <b val="true"/>
      <sz val="10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9"/>
      <name val="Cambria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0A0A0C"/>
        <bgColor rgb="FF0F0F1A"/>
      </patternFill>
    </fill>
    <fill>
      <patternFill patternType="solid">
        <fgColor rgb="FF1B1B2F"/>
        <bgColor rgb="FF1A1A2E"/>
      </patternFill>
    </fill>
    <fill>
      <patternFill patternType="solid">
        <fgColor rgb="FF16162B"/>
        <bgColor rgb="FF1A1A2E"/>
      </patternFill>
    </fill>
    <fill>
      <patternFill patternType="solid">
        <fgColor rgb="FF0F0F1A"/>
        <bgColor rgb="FF0A0A0C"/>
      </patternFill>
    </fill>
    <fill>
      <patternFill patternType="solid">
        <fgColor rgb="FFC6EFCE"/>
        <bgColor rgb="FFE0E0E0"/>
      </patternFill>
    </fill>
    <fill>
      <patternFill patternType="solid">
        <fgColor rgb="FF3B0D0D"/>
        <bgColor rgb="FF1A1A2E"/>
      </patternFill>
    </fill>
    <fill>
      <patternFill patternType="solid">
        <fgColor rgb="FF1A1A2E"/>
        <bgColor rgb="FF1B1B2F"/>
      </patternFill>
    </fill>
    <fill>
      <patternFill patternType="solid">
        <fgColor rgb="FF0D3B2E"/>
        <bgColor rgb="FF2D2D44"/>
      </patternFill>
    </fill>
    <fill>
      <patternFill patternType="solid">
        <fgColor rgb="FF3B3500"/>
        <bgColor rgb="FF2D2D44"/>
      </patternFill>
    </fill>
    <fill>
      <patternFill patternType="solid">
        <fgColor rgb="FFFFEB9C"/>
        <bgColor rgb="FFFFFFCC"/>
      </patternFill>
    </fill>
    <fill>
      <patternFill patternType="solid">
        <fgColor rgb="FFE8D44D"/>
        <bgColor rgb="FFFACC15"/>
      </patternFill>
    </fill>
    <fill>
      <patternFill patternType="solid">
        <fgColor rgb="FFD9D9D9"/>
        <bgColor rgb="FFE0E0E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2D2D4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6" fillId="1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7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9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1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1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1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3">
    <dxf>
      <fill>
        <patternFill patternType="solid">
          <fgColor rgb="FF0F0F1A"/>
          <bgColor rgb="FF000000"/>
        </patternFill>
      </fill>
    </dxf>
    <dxf>
      <fill>
        <patternFill patternType="solid">
          <fgColor rgb="FF16162B"/>
          <bgColor rgb="FF000000"/>
        </patternFill>
      </fill>
    </dxf>
    <dxf>
      <fill>
        <patternFill patternType="solid">
          <fgColor rgb="FF1B1B2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E0E0E0"/>
          <bgColor rgb="FF000000"/>
        </patternFill>
      </fill>
    </dxf>
    <dxf>
      <fill>
        <patternFill patternType="solid">
          <fgColor rgb="FFF5A623"/>
          <bgColor rgb="FF000000"/>
        </patternFill>
      </fill>
    </dxf>
    <dxf>
      <fill>
        <patternFill patternType="solid">
          <fgColor rgb="FF0D3B2E"/>
          <bgColor rgb="FF000000"/>
        </patternFill>
      </fill>
    </dxf>
    <dxf>
      <fill>
        <patternFill patternType="solid">
          <fgColor rgb="FF3B0D0D"/>
          <bgColor rgb="FF000000"/>
        </patternFill>
      </fill>
    </dxf>
    <dxf>
      <fill>
        <patternFill patternType="solid">
          <fgColor rgb="FF4ADE80"/>
          <bgColor rgb="FF000000"/>
        </patternFill>
      </fill>
    </dxf>
    <dxf>
      <fill>
        <patternFill patternType="solid">
          <fgColor rgb="FFF87171"/>
          <bgColor rgb="FF000000"/>
        </patternFill>
      </fill>
    </dxf>
    <dxf>
      <fill>
        <patternFill patternType="solid">
          <fgColor rgb="FFFACC15"/>
          <bgColor rgb="FF000000"/>
        </patternFill>
      </fill>
    </dxf>
    <dxf>
      <fill>
        <patternFill patternType="solid">
          <fgColor rgb="FF60A5FA"/>
          <bgColor rgb="FF000000"/>
        </patternFill>
      </fill>
    </dxf>
    <dxf>
      <fill>
        <patternFill patternType="solid">
          <fgColor rgb="FF1A1A2E"/>
          <bgColor rgb="FF000000"/>
        </patternFill>
      </fill>
    </dxf>
    <dxf>
      <fill>
        <patternFill patternType="solid">
          <fgColor rgb="FF666666"/>
          <bgColor rgb="FF000000"/>
        </patternFill>
      </fill>
    </dxf>
    <dxf>
      <fill>
        <patternFill patternType="solid">
          <fgColor rgb="FF818CF8"/>
          <bgColor rgb="FF000000"/>
        </patternFill>
      </fill>
    </dxf>
    <dxf>
      <fill>
        <patternFill patternType="solid">
          <fgColor rgb="FFF472B6"/>
          <bgColor rgb="FF000000"/>
        </patternFill>
      </fill>
    </dxf>
    <dxf>
      <fill>
        <patternFill patternType="solid">
          <fgColor rgb="FFFB923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888888"/>
          <bgColor rgb="FF000000"/>
        </patternFill>
      </fill>
    </dxf>
    <dxf>
      <fill>
        <patternFill patternType="solid">
          <fgColor rgb="FF34D399"/>
          <bgColor rgb="FF000000"/>
        </patternFill>
      </fill>
    </dxf>
    <dxf>
      <fill>
        <patternFill patternType="solid">
          <fgColor rgb="FFA78BFA"/>
          <bgColor rgb="FF000000"/>
        </patternFill>
      </fill>
    </dxf>
    <dxf>
      <fill>
        <patternFill patternType="solid">
          <fgColor rgb="FF3B3500"/>
          <bgColor rgb="FF000000"/>
        </patternFill>
      </fill>
    </dxf>
    <dxf>
      <fill>
        <patternFill patternType="solid">
          <fgColor rgb="FFFFEB9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A0A0C"/>
      <rgbColor rgb="FF006100"/>
      <rgbColor rgb="FF16162B"/>
      <rgbColor rgb="FF808000"/>
      <rgbColor rgb="FF800080"/>
      <rgbColor rgb="FF008080"/>
      <rgbColor rgb="FFC0C0C0"/>
      <rgbColor rgb="FF888888"/>
      <rgbColor rgb="FFA78BFA"/>
      <rgbColor rgb="FF993366"/>
      <rgbColor rgb="FFFFFFCC"/>
      <rgbColor rgb="FFE0E0E0"/>
      <rgbColor rgb="FF3B0D0D"/>
      <rgbColor rgb="FFF87171"/>
      <rgbColor rgb="FF0066CC"/>
      <rgbColor rgb="FFD9D9D9"/>
      <rgbColor rgb="FF1A1A2E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60A5FA"/>
      <rgbColor rgb="FFF472B6"/>
      <rgbColor rgb="FF818CF8"/>
      <rgbColor rgb="FFE8D44D"/>
      <rgbColor rgb="FF3366FF"/>
      <rgbColor rgb="FF34D399"/>
      <rgbColor rgb="FF99CC00"/>
      <rgbColor rgb="FFFACC15"/>
      <rgbColor rgb="FFF5A623"/>
      <rgbColor rgb="FFFB923C"/>
      <rgbColor rgb="FF666666"/>
      <rgbColor rgb="FFA0A0A0"/>
      <rgbColor rgb="FF1B1B2F"/>
      <rgbColor rgb="FF4ADE80"/>
      <rgbColor rgb="FF0D3B2E"/>
      <rgbColor rgb="FF3B3500"/>
      <rgbColor rgb="FF993300"/>
      <rgbColor rgb="FF993366"/>
      <rgbColor rgb="FF0F0F1A"/>
      <rgbColor rgb="FF2D2D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A623"/>
    <pageSetUpPr fitToPage="false"/>
  </sheetPr>
  <dimension ref="A1:L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8"/>
    <col collapsed="false" customWidth="true" hidden="false" outlineLevel="0" max="3" min="3" style="1" width="22"/>
    <col collapsed="false" customWidth="true" hidden="false" outlineLevel="0" max="4" min="4" style="1" width="16"/>
    <col collapsed="false" customWidth="true" hidden="false" outlineLevel="0" max="6" min="5" style="1" width="50"/>
    <col collapsed="false" customWidth="true" hidden="false" outlineLevel="0" max="11" min="7" style="1" width="10"/>
    <col collapsed="false" customWidth="true" hidden="false" outlineLevel="0" max="12" min="12" style="1" width="12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26.2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</row>
    <row r="5" customFormat="false" ht="23.25" hidden="false" customHeight="true" outlineLevel="0" collapsed="false">
      <c r="A5" s="5" t="s">
        <v>14</v>
      </c>
      <c r="B5" s="6" t="s">
        <v>15</v>
      </c>
      <c r="C5" s="7" t="s">
        <v>16</v>
      </c>
      <c r="D5" s="7" t="s">
        <v>17</v>
      </c>
      <c r="E5" s="7" t="s">
        <v>18</v>
      </c>
      <c r="F5" s="7" t="s">
        <v>19</v>
      </c>
      <c r="G5" s="8" t="n">
        <f aca="false">COUNTIF('Data Models Gap'!I:I,"*AR*")</f>
        <v>6</v>
      </c>
      <c r="H5" s="8" t="n">
        <f aca="false">COUNTIF('Feature Gap - Pages'!H:H,"*AR*")</f>
        <v>1</v>
      </c>
      <c r="I5" s="8" t="n">
        <f aca="false">COUNTIF('Service &amp; API Gap'!H:H,"*AR*")</f>
        <v>6</v>
      </c>
      <c r="J5" s="8" t="n">
        <f aca="false">COUNTIF('Infrastructure Gap'!H:H,"*AR*")</f>
        <v>2</v>
      </c>
      <c r="K5" s="8" t="n">
        <f aca="false">COUNTIF('Priority Roadmap'!I:I,"*AR*")</f>
        <v>3</v>
      </c>
      <c r="L5" s="5" t="n">
        <f aca="false">SUM(G5:K5)</f>
        <v>18</v>
      </c>
    </row>
    <row r="6" customFormat="false" ht="23.25" hidden="false" customHeight="true" outlineLevel="0" collapsed="false">
      <c r="A6" s="9" t="s">
        <v>20</v>
      </c>
      <c r="B6" s="10" t="s">
        <v>21</v>
      </c>
      <c r="C6" s="11" t="s">
        <v>22</v>
      </c>
      <c r="D6" s="11" t="s">
        <v>23</v>
      </c>
      <c r="E6" s="11" t="s">
        <v>24</v>
      </c>
      <c r="F6" s="11" t="s">
        <v>25</v>
      </c>
      <c r="G6" s="12" t="n">
        <f aca="false">COUNTIF('Data Models Gap'!I:I,"*PK*")</f>
        <v>8</v>
      </c>
      <c r="H6" s="12" t="n">
        <f aca="false">COUNTIF('Feature Gap - Pages'!H:H,"*PK*")</f>
        <v>0</v>
      </c>
      <c r="I6" s="12" t="n">
        <f aca="false">COUNTIF('Service &amp; API Gap'!H:H,"*PK*")</f>
        <v>10</v>
      </c>
      <c r="J6" s="12" t="n">
        <f aca="false">COUNTIF('Infrastructure Gap'!H:H,"*PK*")</f>
        <v>1</v>
      </c>
      <c r="K6" s="12" t="n">
        <f aca="false">COUNTIF('Priority Roadmap'!I:I,"*PK*")</f>
        <v>9</v>
      </c>
      <c r="L6" s="13" t="n">
        <f aca="false">SUM(G6:K6)</f>
        <v>28</v>
      </c>
    </row>
    <row r="7" customFormat="false" ht="23.25" hidden="false" customHeight="true" outlineLevel="0" collapsed="false">
      <c r="A7" s="14" t="s">
        <v>26</v>
      </c>
      <c r="B7" s="6" t="s">
        <v>27</v>
      </c>
      <c r="C7" s="7" t="s">
        <v>28</v>
      </c>
      <c r="D7" s="7" t="s">
        <v>23</v>
      </c>
      <c r="E7" s="7" t="s">
        <v>29</v>
      </c>
      <c r="F7" s="7" t="s">
        <v>30</v>
      </c>
      <c r="G7" s="8" t="n">
        <f aca="false">COUNTIF('Data Models Gap'!I:I,"*VS*")</f>
        <v>6</v>
      </c>
      <c r="H7" s="8" t="n">
        <f aca="false">COUNTIF('Feature Gap - Pages'!H:H,"*VS*")</f>
        <v>1</v>
      </c>
      <c r="I7" s="8" t="n">
        <f aca="false">COUNTIF('Service &amp; API Gap'!H:H,"*VS*")</f>
        <v>12</v>
      </c>
      <c r="J7" s="8" t="n">
        <f aca="false">COUNTIF('Infrastructure Gap'!H:H,"*VS*")</f>
        <v>0</v>
      </c>
      <c r="K7" s="8" t="n">
        <f aca="false">COUNTIF('Priority Roadmap'!I:I,"*VS*")</f>
        <v>5</v>
      </c>
      <c r="L7" s="5" t="n">
        <f aca="false">SUM(G7:K7)</f>
        <v>24</v>
      </c>
    </row>
    <row r="8" customFormat="false" ht="23.25" hidden="false" customHeight="true" outlineLevel="0" collapsed="false">
      <c r="A8" s="15" t="s">
        <v>31</v>
      </c>
      <c r="B8" s="10" t="s">
        <v>32</v>
      </c>
      <c r="C8" s="11" t="s">
        <v>33</v>
      </c>
      <c r="D8" s="11" t="s">
        <v>34</v>
      </c>
      <c r="E8" s="11" t="s">
        <v>35</v>
      </c>
      <c r="F8" s="11" t="s">
        <v>36</v>
      </c>
      <c r="G8" s="12" t="n">
        <f aca="false">COUNTIF('Data Models Gap'!I:I,"*NK*")</f>
        <v>1</v>
      </c>
      <c r="H8" s="12" t="n">
        <f aca="false">COUNTIF('Feature Gap - Pages'!H:H,"*NK*")</f>
        <v>15</v>
      </c>
      <c r="I8" s="12" t="n">
        <f aca="false">COUNTIF('Service &amp; API Gap'!H:H,"*NK*")</f>
        <v>0</v>
      </c>
      <c r="J8" s="12" t="n">
        <f aca="false">COUNTIF('Infrastructure Gap'!H:H,"*NK*")</f>
        <v>0</v>
      </c>
      <c r="K8" s="12" t="n">
        <f aca="false">COUNTIF('Priority Roadmap'!I:I,"*NK*")</f>
        <v>1</v>
      </c>
      <c r="L8" s="13" t="n">
        <f aca="false">SUM(G8:K8)</f>
        <v>17</v>
      </c>
    </row>
    <row r="9" customFormat="false" ht="23.25" hidden="false" customHeight="true" outlineLevel="0" collapsed="false">
      <c r="A9" s="16" t="s">
        <v>37</v>
      </c>
      <c r="B9" s="6" t="s">
        <v>38</v>
      </c>
      <c r="C9" s="7" t="s">
        <v>39</v>
      </c>
      <c r="D9" s="7" t="s">
        <v>34</v>
      </c>
      <c r="E9" s="7" t="s">
        <v>40</v>
      </c>
      <c r="F9" s="7" t="s">
        <v>41</v>
      </c>
      <c r="G9" s="8" t="n">
        <f aca="false">COUNTIF('Data Models Gap'!I:I,"*DM*")</f>
        <v>0</v>
      </c>
      <c r="H9" s="8" t="n">
        <f aca="false">COUNTIF('Feature Gap - Pages'!H:H,"*DM*")</f>
        <v>15</v>
      </c>
      <c r="I9" s="8" t="n">
        <f aca="false">COUNTIF('Service &amp; API Gap'!H:H,"*DM*")</f>
        <v>0</v>
      </c>
      <c r="J9" s="8" t="n">
        <f aca="false">COUNTIF('Infrastructure Gap'!H:H,"*DM*")</f>
        <v>1</v>
      </c>
      <c r="K9" s="8" t="n">
        <f aca="false">COUNTIF('Priority Roadmap'!I:I,"*DM*")</f>
        <v>3</v>
      </c>
      <c r="L9" s="5" t="n">
        <f aca="false">SUM(G9:K9)</f>
        <v>19</v>
      </c>
    </row>
    <row r="10" customFormat="false" ht="23.25" hidden="false" customHeight="true" outlineLevel="0" collapsed="false">
      <c r="A10" s="17" t="s">
        <v>42</v>
      </c>
      <c r="B10" s="10" t="s">
        <v>43</v>
      </c>
      <c r="C10" s="11" t="s">
        <v>44</v>
      </c>
      <c r="D10" s="11" t="s">
        <v>45</v>
      </c>
      <c r="E10" s="11" t="s">
        <v>46</v>
      </c>
      <c r="F10" s="11" t="s">
        <v>47</v>
      </c>
      <c r="G10" s="12" t="n">
        <f aca="false">COUNTIF('Data Models Gap'!I:I,"*SP*")</f>
        <v>7</v>
      </c>
      <c r="H10" s="12" t="n">
        <f aca="false">COUNTIF('Feature Gap - Pages'!H:H,"*SP*")</f>
        <v>3</v>
      </c>
      <c r="I10" s="12" t="n">
        <f aca="false">COUNTIF('Service &amp; API Gap'!H:H,"*SP*")</f>
        <v>7</v>
      </c>
      <c r="J10" s="12" t="n">
        <f aca="false">COUNTIF('Infrastructure Gap'!H:H,"*SP*")</f>
        <v>4</v>
      </c>
      <c r="K10" s="12" t="n">
        <f aca="false">COUNTIF('Priority Roadmap'!I:I,"*SP*")</f>
        <v>6</v>
      </c>
      <c r="L10" s="13" t="n">
        <f aca="false">SUM(G10:K10)</f>
        <v>27</v>
      </c>
    </row>
    <row r="11" customFormat="false" ht="23.25" hidden="false" customHeight="true" outlineLevel="0" collapsed="false">
      <c r="A11" s="18" t="s">
        <v>48</v>
      </c>
      <c r="B11" s="6" t="s">
        <v>49</v>
      </c>
      <c r="C11" s="7" t="s">
        <v>44</v>
      </c>
      <c r="D11" s="7" t="s">
        <v>45</v>
      </c>
      <c r="E11" s="7" t="s">
        <v>50</v>
      </c>
      <c r="F11" s="7" t="s">
        <v>51</v>
      </c>
      <c r="G11" s="8" t="n">
        <f aca="false">COUNTIF('Data Models Gap'!I:I,"*RG*")</f>
        <v>9</v>
      </c>
      <c r="H11" s="8" t="n">
        <f aca="false">COUNTIF('Feature Gap - Pages'!H:H,"*RG*")</f>
        <v>4</v>
      </c>
      <c r="I11" s="8" t="n">
        <f aca="false">COUNTIF('Service &amp; API Gap'!H:H,"*RG*")</f>
        <v>10</v>
      </c>
      <c r="J11" s="8" t="n">
        <f aca="false">COUNTIF('Infrastructure Gap'!H:H,"*RG*")</f>
        <v>1</v>
      </c>
      <c r="K11" s="8" t="n">
        <f aca="false">COUNTIF('Priority Roadmap'!I:I,"*RG*")</f>
        <v>5</v>
      </c>
      <c r="L11" s="5" t="n">
        <f aca="false">SUM(G11:K11)</f>
        <v>29</v>
      </c>
    </row>
    <row r="12" customFormat="false" ht="23.25" hidden="false" customHeight="true" outlineLevel="0" collapsed="false">
      <c r="A12" s="19" t="s">
        <v>52</v>
      </c>
      <c r="B12" s="10" t="s">
        <v>53</v>
      </c>
      <c r="C12" s="11" t="s">
        <v>54</v>
      </c>
      <c r="D12" s="11" t="s">
        <v>55</v>
      </c>
      <c r="E12" s="11" t="s">
        <v>56</v>
      </c>
      <c r="F12" s="11" t="s">
        <v>57</v>
      </c>
      <c r="G12" s="12" t="n">
        <f aca="false">COUNTIF('Data Models Gap'!I:I,"*AM*")</f>
        <v>6</v>
      </c>
      <c r="H12" s="12" t="n">
        <f aca="false">COUNTIF('Feature Gap - Pages'!H:H,"*AM*")</f>
        <v>0</v>
      </c>
      <c r="I12" s="12" t="n">
        <f aca="false">COUNTIF('Service &amp; API Gap'!H:H,"*AM*")</f>
        <v>8</v>
      </c>
      <c r="J12" s="12" t="n">
        <f aca="false">COUNTIF('Infrastructure Gap'!H:H,"*AM*")</f>
        <v>13</v>
      </c>
      <c r="K12" s="12" t="n">
        <f aca="false">COUNTIF('Priority Roadmap'!I:I,"*AM*")</f>
        <v>7</v>
      </c>
      <c r="L12" s="13" t="n">
        <f aca="false">SUM(G12:K12)</f>
        <v>34</v>
      </c>
    </row>
    <row r="13" customFormat="false" ht="23.25" hidden="false" customHeight="true" outlineLevel="0" collapsed="false">
      <c r="A13" s="20" t="s">
        <v>58</v>
      </c>
      <c r="B13" s="6" t="s">
        <v>59</v>
      </c>
      <c r="C13" s="7" t="s">
        <v>60</v>
      </c>
      <c r="D13" s="7" t="s">
        <v>61</v>
      </c>
      <c r="E13" s="7" t="s">
        <v>62</v>
      </c>
      <c r="F13" s="7" t="s">
        <v>63</v>
      </c>
      <c r="G13" s="8" t="n">
        <f aca="false">COUNTIF('Data Models Gap'!I:I,"*KS*")</f>
        <v>0</v>
      </c>
      <c r="H13" s="8" t="n">
        <f aca="false">COUNTIF('Feature Gap - Pages'!H:H,"*KS*")</f>
        <v>0</v>
      </c>
      <c r="I13" s="8" t="n">
        <f aca="false">COUNTIF('Service &amp; API Gap'!H:H,"*KS*")</f>
        <v>0</v>
      </c>
      <c r="J13" s="8" t="n">
        <f aca="false">COUNTIF('Infrastructure Gap'!H:H,"*KS*")</f>
        <v>1</v>
      </c>
      <c r="K13" s="8" t="n">
        <f aca="false">COUNTIF('Priority Roadmap'!I:I,"*KS*")</f>
        <v>0</v>
      </c>
      <c r="L13" s="5" t="n">
        <f aca="false">SUM(G13:K13)</f>
        <v>1</v>
      </c>
    </row>
    <row r="14" customFormat="false" ht="15" hidden="false" customHeight="true" outlineLevel="0" collapsed="false">
      <c r="A14" s="21" t="s">
        <v>64</v>
      </c>
      <c r="B14" s="22"/>
      <c r="C14" s="22"/>
      <c r="D14" s="22"/>
      <c r="E14" s="22"/>
      <c r="F14" s="22"/>
      <c r="G14" s="23" t="n">
        <f aca="false">SUM(G5:G13)</f>
        <v>43</v>
      </c>
      <c r="H14" s="23" t="n">
        <f aca="false">SUM(H5:H13)</f>
        <v>39</v>
      </c>
      <c r="I14" s="23" t="n">
        <f aca="false">SUM(I5:I13)</f>
        <v>53</v>
      </c>
      <c r="J14" s="23" t="n">
        <f aca="false">SUM(J5:J13)</f>
        <v>23</v>
      </c>
      <c r="K14" s="23" t="n">
        <f aca="false">SUM(K5:K13)</f>
        <v>39</v>
      </c>
      <c r="L14" s="23" t="n">
        <f aca="false">SUM(L5:L13)</f>
        <v>197</v>
      </c>
    </row>
    <row r="16" customFormat="false" ht="17.25" hidden="false" customHeight="true" outlineLevel="0" collapsed="false">
      <c r="A16" s="24" t="s">
        <v>65</v>
      </c>
    </row>
    <row r="17" customFormat="false" ht="26.25" hidden="false" customHeight="true" outlineLevel="0" collapsed="false">
      <c r="A17" s="4" t="s">
        <v>5</v>
      </c>
      <c r="B17" s="4" t="s">
        <v>66</v>
      </c>
      <c r="C17" s="4" t="s">
        <v>67</v>
      </c>
      <c r="D17" s="4" t="s">
        <v>68</v>
      </c>
    </row>
    <row r="18" customFormat="false" ht="34.5" hidden="false" customHeight="true" outlineLevel="0" collapsed="false">
      <c r="A18" s="7" t="s">
        <v>17</v>
      </c>
      <c r="B18" s="7" t="s">
        <v>69</v>
      </c>
      <c r="C18" s="7" t="s">
        <v>70</v>
      </c>
      <c r="D18" s="7" t="s">
        <v>71</v>
      </c>
    </row>
    <row r="19" customFormat="false" ht="34.5" hidden="false" customHeight="true" outlineLevel="0" collapsed="false">
      <c r="A19" s="11" t="s">
        <v>23</v>
      </c>
      <c r="B19" s="11" t="s">
        <v>72</v>
      </c>
      <c r="C19" s="11" t="s">
        <v>73</v>
      </c>
      <c r="D19" s="11" t="s">
        <v>74</v>
      </c>
    </row>
    <row r="20" customFormat="false" ht="34.5" hidden="false" customHeight="true" outlineLevel="0" collapsed="false">
      <c r="A20" s="7" t="s">
        <v>34</v>
      </c>
      <c r="B20" s="7" t="s">
        <v>75</v>
      </c>
      <c r="C20" s="7" t="s">
        <v>76</v>
      </c>
      <c r="D20" s="7" t="s">
        <v>77</v>
      </c>
    </row>
    <row r="21" customFormat="false" ht="34.5" hidden="false" customHeight="true" outlineLevel="0" collapsed="false">
      <c r="A21" s="11" t="s">
        <v>45</v>
      </c>
      <c r="B21" s="11" t="s">
        <v>78</v>
      </c>
      <c r="C21" s="11" t="s">
        <v>79</v>
      </c>
      <c r="D21" s="11" t="s">
        <v>80</v>
      </c>
    </row>
    <row r="22" customFormat="false" ht="34.5" hidden="false" customHeight="true" outlineLevel="0" collapsed="false">
      <c r="A22" s="7" t="s">
        <v>55</v>
      </c>
      <c r="B22" s="7" t="s">
        <v>81</v>
      </c>
      <c r="C22" s="7" t="s">
        <v>82</v>
      </c>
      <c r="D22" s="7" t="s">
        <v>83</v>
      </c>
    </row>
    <row r="23" customFormat="false" ht="34.5" hidden="false" customHeight="true" outlineLevel="0" collapsed="false">
      <c r="A23" s="11" t="s">
        <v>61</v>
      </c>
      <c r="B23" s="11" t="s">
        <v>84</v>
      </c>
      <c r="C23" s="11" t="s">
        <v>85</v>
      </c>
      <c r="D23" s="11" t="s">
        <v>86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A623"/>
    <pageSetUpPr fitToPage="false"/>
  </sheetPr>
  <dimension ref="A1:F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35"/>
    <col collapsed="false" customWidth="true" hidden="false" outlineLevel="0" max="3" min="3" style="1" width="25"/>
    <col collapsed="false" customWidth="true" hidden="false" outlineLevel="0" max="4" min="4" style="1" width="50"/>
  </cols>
  <sheetData>
    <row r="1" customFormat="false" ht="21.75" hidden="false" customHeight="true" outlineLevel="0" collapsed="false">
      <c r="A1" s="25" t="s">
        <v>87</v>
      </c>
      <c r="B1" s="25"/>
      <c r="C1" s="25"/>
      <c r="D1" s="25"/>
      <c r="E1" s="25"/>
      <c r="F1" s="25"/>
    </row>
    <row r="2" customFormat="false" ht="15" hidden="false" customHeight="true" outlineLevel="0" collapsed="false">
      <c r="A2" s="3" t="s">
        <v>88</v>
      </c>
      <c r="B2" s="3"/>
      <c r="C2" s="3"/>
      <c r="D2" s="3"/>
      <c r="E2" s="3"/>
      <c r="F2" s="3"/>
    </row>
    <row r="4" customFormat="false" ht="15" hidden="false" customHeight="true" outlineLevel="0" collapsed="false">
      <c r="A4" s="4" t="s">
        <v>89</v>
      </c>
      <c r="B4" s="4" t="s">
        <v>90</v>
      </c>
      <c r="C4" s="4" t="s">
        <v>91</v>
      </c>
      <c r="D4" s="4" t="s">
        <v>92</v>
      </c>
    </row>
    <row r="5" customFormat="false" ht="15" hidden="false" customHeight="true" outlineLevel="0" collapsed="false">
      <c r="A5" s="11" t="s">
        <v>93</v>
      </c>
      <c r="B5" s="11" t="s">
        <v>94</v>
      </c>
      <c r="C5" s="11" t="s">
        <v>95</v>
      </c>
      <c r="D5" s="11" t="s">
        <v>96</v>
      </c>
    </row>
    <row r="6" customFormat="false" ht="15" hidden="false" customHeight="true" outlineLevel="0" collapsed="false">
      <c r="A6" s="7" t="s">
        <v>97</v>
      </c>
      <c r="B6" s="7" t="s">
        <v>98</v>
      </c>
      <c r="C6" s="7" t="s">
        <v>99</v>
      </c>
      <c r="D6" s="7" t="s">
        <v>100</v>
      </c>
    </row>
    <row r="7" customFormat="false" ht="15" hidden="false" customHeight="true" outlineLevel="0" collapsed="false">
      <c r="A7" s="11" t="s">
        <v>101</v>
      </c>
      <c r="B7" s="11" t="s">
        <v>102</v>
      </c>
      <c r="C7" s="11" t="s">
        <v>103</v>
      </c>
      <c r="D7" s="11" t="s">
        <v>104</v>
      </c>
    </row>
    <row r="8" customFormat="false" ht="15" hidden="false" customHeight="true" outlineLevel="0" collapsed="false">
      <c r="A8" s="7" t="s">
        <v>105</v>
      </c>
      <c r="B8" s="7" t="s">
        <v>106</v>
      </c>
      <c r="C8" s="7" t="s">
        <v>107</v>
      </c>
      <c r="D8" s="7" t="s">
        <v>108</v>
      </c>
    </row>
    <row r="9" customFormat="false" ht="15" hidden="false" customHeight="true" outlineLevel="0" collapsed="false">
      <c r="A9" s="11" t="s">
        <v>109</v>
      </c>
      <c r="B9" s="11" t="s">
        <v>110</v>
      </c>
      <c r="C9" s="11" t="s">
        <v>111</v>
      </c>
      <c r="D9" s="11" t="s">
        <v>112</v>
      </c>
    </row>
    <row r="10" customFormat="false" ht="15" hidden="false" customHeight="true" outlineLevel="0" collapsed="false">
      <c r="A10" s="7" t="s">
        <v>113</v>
      </c>
      <c r="B10" s="7" t="s">
        <v>114</v>
      </c>
      <c r="C10" s="7" t="s">
        <v>115</v>
      </c>
      <c r="D10" s="7" t="s">
        <v>116</v>
      </c>
    </row>
    <row r="11" customFormat="false" ht="15" hidden="false" customHeight="true" outlineLevel="0" collapsed="false">
      <c r="A11" s="11" t="s">
        <v>117</v>
      </c>
      <c r="B11" s="11" t="s">
        <v>118</v>
      </c>
      <c r="C11" s="11" t="s">
        <v>119</v>
      </c>
      <c r="D11" s="11" t="s">
        <v>120</v>
      </c>
    </row>
    <row r="12" customFormat="false" ht="15" hidden="false" customHeight="true" outlineLevel="0" collapsed="false">
      <c r="A12" s="7" t="s">
        <v>121</v>
      </c>
      <c r="B12" s="7" t="s">
        <v>122</v>
      </c>
      <c r="C12" s="7" t="s">
        <v>123</v>
      </c>
      <c r="D12" s="7" t="s">
        <v>124</v>
      </c>
    </row>
    <row r="13" customFormat="false" ht="15" hidden="false" customHeight="true" outlineLevel="0" collapsed="false">
      <c r="A13" s="11" t="s">
        <v>125</v>
      </c>
      <c r="B13" s="11" t="s">
        <v>126</v>
      </c>
      <c r="C13" s="11" t="s">
        <v>127</v>
      </c>
      <c r="D13" s="11" t="s">
        <v>128</v>
      </c>
    </row>
    <row r="14" customFormat="false" ht="15" hidden="false" customHeight="true" outlineLevel="0" collapsed="false">
      <c r="A14" s="7" t="s">
        <v>129</v>
      </c>
      <c r="B14" s="7" t="s">
        <v>130</v>
      </c>
      <c r="C14" s="7" t="s">
        <v>131</v>
      </c>
      <c r="D14" s="7" t="s">
        <v>132</v>
      </c>
    </row>
    <row r="15" customFormat="false" ht="15" hidden="false" customHeight="true" outlineLevel="0" collapsed="false">
      <c r="A15" s="11" t="s">
        <v>133</v>
      </c>
      <c r="B15" s="11" t="s">
        <v>134</v>
      </c>
      <c r="C15" s="11" t="s">
        <v>131</v>
      </c>
      <c r="D15" s="11" t="s">
        <v>135</v>
      </c>
    </row>
    <row r="16" customFormat="false" ht="15" hidden="false" customHeight="true" outlineLevel="0" collapsed="false">
      <c r="A16" s="7" t="s">
        <v>45</v>
      </c>
      <c r="B16" s="7" t="s">
        <v>136</v>
      </c>
      <c r="C16" s="7" t="s">
        <v>137</v>
      </c>
      <c r="D16" s="7" t="s">
        <v>138</v>
      </c>
    </row>
    <row r="17" customFormat="false" ht="15" hidden="false" customHeight="true" outlineLevel="0" collapsed="false">
      <c r="A17" s="11" t="s">
        <v>139</v>
      </c>
      <c r="B17" s="11" t="s">
        <v>140</v>
      </c>
      <c r="C17" s="11" t="s">
        <v>141</v>
      </c>
      <c r="D17" s="11" t="s">
        <v>142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87171"/>
    <pageSetUpPr fitToPage="false"/>
  </sheetPr>
  <dimension ref="A1:K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2"/>
    <col collapsed="false" customWidth="true" hidden="false" outlineLevel="0" max="3" min="3" style="1" width="20"/>
    <col collapsed="false" customWidth="true" hidden="false" outlineLevel="0" max="4" min="4" style="1" width="12"/>
    <col collapsed="false" customWidth="true" hidden="false" outlineLevel="0" max="5" min="5" style="1" width="60"/>
    <col collapsed="false" customWidth="true" hidden="false" outlineLevel="0" max="6" min="6" style="1" width="8"/>
    <col collapsed="false" customWidth="true" hidden="false" outlineLevel="0" max="7" min="7" style="1" width="45"/>
    <col collapsed="false" customWidth="true" hidden="false" outlineLevel="0" max="8" min="8" style="1" width="7"/>
    <col collapsed="false" customWidth="true" hidden="false" outlineLevel="0" max="9" min="9" style="1" width="18"/>
    <col collapsed="false" customWidth="true" hidden="false" outlineLevel="0" max="11" min="10" style="1" width="16"/>
  </cols>
  <sheetData>
    <row r="1" customFormat="false" ht="26.25" hidden="false" customHeight="true" outlineLevel="0" collapsed="false">
      <c r="A1" s="4" t="s">
        <v>143</v>
      </c>
      <c r="B1" s="4" t="s">
        <v>144</v>
      </c>
      <c r="C1" s="4" t="s">
        <v>145</v>
      </c>
      <c r="D1" s="4" t="s">
        <v>146</v>
      </c>
      <c r="E1" s="4" t="s">
        <v>147</v>
      </c>
      <c r="F1" s="4" t="s">
        <v>148</v>
      </c>
      <c r="G1" s="4" t="s">
        <v>149</v>
      </c>
      <c r="H1" s="4" t="s">
        <v>150</v>
      </c>
      <c r="I1" s="4" t="s">
        <v>151</v>
      </c>
      <c r="J1" s="4" t="s">
        <v>5</v>
      </c>
      <c r="K1" s="4" t="s">
        <v>152</v>
      </c>
    </row>
    <row r="2" customFormat="false" ht="34.5" hidden="false" customHeight="true" outlineLevel="0" collapsed="false">
      <c r="A2" s="26" t="s">
        <v>153</v>
      </c>
      <c r="B2" s="26" t="s">
        <v>154</v>
      </c>
      <c r="C2" s="26" t="s">
        <v>155</v>
      </c>
      <c r="D2" s="27" t="s">
        <v>156</v>
      </c>
      <c r="E2" s="26" t="s">
        <v>157</v>
      </c>
      <c r="F2" s="28" t="s">
        <v>158</v>
      </c>
      <c r="G2" s="26" t="s">
        <v>159</v>
      </c>
      <c r="H2" s="29" t="s">
        <v>160</v>
      </c>
      <c r="I2" s="30" t="s">
        <v>161</v>
      </c>
      <c r="J2" s="31" t="s">
        <v>23</v>
      </c>
      <c r="K2" s="32" t="s">
        <v>162</v>
      </c>
    </row>
    <row r="3" customFormat="false" ht="45.75" hidden="false" customHeight="true" outlineLevel="0" collapsed="false">
      <c r="A3" s="26" t="s">
        <v>163</v>
      </c>
      <c r="B3" s="26" t="s">
        <v>164</v>
      </c>
      <c r="C3" s="26" t="s">
        <v>165</v>
      </c>
      <c r="D3" s="28" t="s">
        <v>156</v>
      </c>
      <c r="E3" s="26" t="s">
        <v>166</v>
      </c>
      <c r="F3" s="28" t="s">
        <v>158</v>
      </c>
      <c r="G3" s="26" t="s">
        <v>167</v>
      </c>
      <c r="H3" s="29" t="s">
        <v>160</v>
      </c>
      <c r="I3" s="30" t="s">
        <v>161</v>
      </c>
      <c r="J3" s="31" t="s">
        <v>23</v>
      </c>
      <c r="K3" s="33" t="s">
        <v>162</v>
      </c>
    </row>
    <row r="4" customFormat="false" ht="23.25" hidden="false" customHeight="true" outlineLevel="0" collapsed="false">
      <c r="A4" s="7" t="s">
        <v>168</v>
      </c>
      <c r="B4" s="7" t="s">
        <v>169</v>
      </c>
      <c r="C4" s="7" t="s">
        <v>170</v>
      </c>
      <c r="D4" s="34" t="s">
        <v>171</v>
      </c>
      <c r="E4" s="7" t="s">
        <v>172</v>
      </c>
      <c r="F4" s="35" t="s">
        <v>158</v>
      </c>
      <c r="G4" s="7" t="s">
        <v>173</v>
      </c>
      <c r="H4" s="36" t="s">
        <v>174</v>
      </c>
      <c r="I4" s="37" t="s">
        <v>161</v>
      </c>
      <c r="J4" s="8" t="s">
        <v>23</v>
      </c>
      <c r="K4" s="38" t="s">
        <v>175</v>
      </c>
    </row>
    <row r="5" customFormat="false" ht="23.25" hidden="false" customHeight="true" outlineLevel="0" collapsed="false">
      <c r="A5" s="26" t="s">
        <v>176</v>
      </c>
      <c r="B5" s="26" t="s">
        <v>177</v>
      </c>
      <c r="C5" s="26" t="s">
        <v>178</v>
      </c>
      <c r="D5" s="27" t="s">
        <v>156</v>
      </c>
      <c r="E5" s="26" t="s">
        <v>179</v>
      </c>
      <c r="F5" s="27" t="s">
        <v>180</v>
      </c>
      <c r="G5" s="26" t="s">
        <v>181</v>
      </c>
      <c r="H5" s="29" t="s">
        <v>160</v>
      </c>
      <c r="I5" s="39" t="s">
        <v>182</v>
      </c>
      <c r="J5" s="31" t="s">
        <v>17</v>
      </c>
      <c r="K5" s="33" t="s">
        <v>162</v>
      </c>
    </row>
    <row r="6" customFormat="false" ht="23.25" hidden="false" customHeight="true" outlineLevel="0" collapsed="false">
      <c r="A6" s="26" t="s">
        <v>183</v>
      </c>
      <c r="B6" s="26" t="s">
        <v>184</v>
      </c>
      <c r="C6" s="26" t="s">
        <v>185</v>
      </c>
      <c r="D6" s="27" t="s">
        <v>156</v>
      </c>
      <c r="E6" s="26" t="s">
        <v>186</v>
      </c>
      <c r="F6" s="27" t="s">
        <v>180</v>
      </c>
      <c r="G6" s="26" t="s">
        <v>187</v>
      </c>
      <c r="H6" s="29" t="s">
        <v>160</v>
      </c>
      <c r="I6" s="39" t="s">
        <v>182</v>
      </c>
      <c r="J6" s="31" t="s">
        <v>17</v>
      </c>
      <c r="K6" s="33" t="s">
        <v>162</v>
      </c>
    </row>
    <row r="7" customFormat="false" ht="15" hidden="false" customHeight="true" outlineLevel="0" collapsed="false">
      <c r="A7" s="11" t="s">
        <v>188</v>
      </c>
      <c r="B7" s="11" t="s">
        <v>189</v>
      </c>
      <c r="C7" s="11" t="s">
        <v>190</v>
      </c>
      <c r="D7" s="34" t="s">
        <v>191</v>
      </c>
      <c r="E7" s="11" t="s">
        <v>192</v>
      </c>
      <c r="F7" s="40" t="s">
        <v>180</v>
      </c>
      <c r="G7" s="11" t="s">
        <v>193</v>
      </c>
      <c r="H7" s="36" t="s">
        <v>160</v>
      </c>
      <c r="I7" s="41" t="s">
        <v>182</v>
      </c>
      <c r="J7" s="12" t="s">
        <v>17</v>
      </c>
      <c r="K7" s="42" t="s">
        <v>162</v>
      </c>
    </row>
    <row r="8" customFormat="false" ht="34.5" hidden="false" customHeight="true" outlineLevel="0" collapsed="false">
      <c r="A8" s="26" t="s">
        <v>194</v>
      </c>
      <c r="B8" s="26" t="s">
        <v>195</v>
      </c>
      <c r="C8" s="26" t="s">
        <v>196</v>
      </c>
      <c r="D8" s="27" t="s">
        <v>156</v>
      </c>
      <c r="E8" s="26" t="s">
        <v>197</v>
      </c>
      <c r="F8" s="27" t="s">
        <v>180</v>
      </c>
      <c r="G8" s="26" t="s">
        <v>198</v>
      </c>
      <c r="H8" s="29" t="s">
        <v>160</v>
      </c>
      <c r="I8" s="39" t="s">
        <v>182</v>
      </c>
      <c r="J8" s="31" t="s">
        <v>17</v>
      </c>
      <c r="K8" s="33" t="s">
        <v>162</v>
      </c>
    </row>
    <row r="9" customFormat="false" ht="34.5" hidden="false" customHeight="true" outlineLevel="0" collapsed="false">
      <c r="A9" s="26" t="s">
        <v>199</v>
      </c>
      <c r="B9" s="26" t="s">
        <v>200</v>
      </c>
      <c r="C9" s="26" t="s">
        <v>201</v>
      </c>
      <c r="D9" s="27" t="s">
        <v>156</v>
      </c>
      <c r="E9" s="26" t="s">
        <v>202</v>
      </c>
      <c r="F9" s="27" t="s">
        <v>180</v>
      </c>
      <c r="G9" s="26" t="s">
        <v>203</v>
      </c>
      <c r="H9" s="29" t="s">
        <v>160</v>
      </c>
      <c r="I9" s="39" t="s">
        <v>182</v>
      </c>
      <c r="J9" s="31" t="s">
        <v>17</v>
      </c>
      <c r="K9" s="33" t="s">
        <v>162</v>
      </c>
    </row>
    <row r="10" customFormat="false" ht="23.25" hidden="false" customHeight="true" outlineLevel="0" collapsed="false">
      <c r="A10" s="26" t="s">
        <v>204</v>
      </c>
      <c r="B10" s="26" t="s">
        <v>205</v>
      </c>
      <c r="C10" s="26" t="s">
        <v>206</v>
      </c>
      <c r="D10" s="27" t="s">
        <v>156</v>
      </c>
      <c r="E10" s="26" t="s">
        <v>207</v>
      </c>
      <c r="F10" s="43" t="s">
        <v>208</v>
      </c>
      <c r="G10" s="26" t="s">
        <v>209</v>
      </c>
      <c r="H10" s="29" t="s">
        <v>160</v>
      </c>
      <c r="I10" s="44" t="s">
        <v>210</v>
      </c>
      <c r="J10" s="31" t="s">
        <v>45</v>
      </c>
      <c r="K10" s="33" t="s">
        <v>162</v>
      </c>
    </row>
    <row r="11" customFormat="false" ht="15" hidden="false" customHeight="true" outlineLevel="0" collapsed="false">
      <c r="A11" s="11" t="s">
        <v>211</v>
      </c>
      <c r="B11" s="11" t="s">
        <v>212</v>
      </c>
      <c r="C11" s="11" t="s">
        <v>196</v>
      </c>
      <c r="D11" s="45" t="s">
        <v>156</v>
      </c>
      <c r="E11" s="11" t="s">
        <v>213</v>
      </c>
      <c r="F11" s="11" t="s">
        <v>190</v>
      </c>
      <c r="G11" s="11" t="s">
        <v>214</v>
      </c>
      <c r="H11" s="46" t="s">
        <v>160</v>
      </c>
      <c r="I11" s="47" t="s">
        <v>190</v>
      </c>
      <c r="J11" s="12" t="s">
        <v>190</v>
      </c>
      <c r="K11" s="48" t="s">
        <v>162</v>
      </c>
    </row>
    <row r="12" customFormat="false" ht="34.5" hidden="false" customHeight="true" outlineLevel="0" collapsed="false">
      <c r="A12" s="7" t="s">
        <v>215</v>
      </c>
      <c r="B12" s="7" t="s">
        <v>216</v>
      </c>
      <c r="C12" s="7" t="s">
        <v>190</v>
      </c>
      <c r="D12" s="34" t="s">
        <v>191</v>
      </c>
      <c r="E12" s="7" t="s">
        <v>217</v>
      </c>
      <c r="F12" s="35" t="s">
        <v>158</v>
      </c>
      <c r="G12" s="7" t="s">
        <v>218</v>
      </c>
      <c r="H12" s="36" t="s">
        <v>160</v>
      </c>
      <c r="I12" s="49" t="s">
        <v>219</v>
      </c>
      <c r="J12" s="8" t="s">
        <v>23</v>
      </c>
      <c r="K12" s="50" t="s">
        <v>162</v>
      </c>
    </row>
    <row r="13" customFormat="false" ht="34.5" hidden="false" customHeight="true" outlineLevel="0" collapsed="false">
      <c r="A13" s="11" t="s">
        <v>220</v>
      </c>
      <c r="B13" s="11" t="s">
        <v>221</v>
      </c>
      <c r="C13" s="11" t="s">
        <v>190</v>
      </c>
      <c r="D13" s="34" t="s">
        <v>156</v>
      </c>
      <c r="E13" s="11" t="s">
        <v>222</v>
      </c>
      <c r="F13" s="51" t="s">
        <v>158</v>
      </c>
      <c r="G13" s="11" t="s">
        <v>223</v>
      </c>
      <c r="H13" s="36" t="s">
        <v>160</v>
      </c>
      <c r="I13" s="52" t="s">
        <v>219</v>
      </c>
      <c r="J13" s="12" t="s">
        <v>23</v>
      </c>
      <c r="K13" s="42" t="s">
        <v>162</v>
      </c>
    </row>
    <row r="14" customFormat="false" ht="23.25" hidden="false" customHeight="true" outlineLevel="0" collapsed="false">
      <c r="A14" s="7" t="s">
        <v>224</v>
      </c>
      <c r="B14" s="7" t="s">
        <v>225</v>
      </c>
      <c r="C14" s="7" t="s">
        <v>226</v>
      </c>
      <c r="D14" s="34" t="s">
        <v>191</v>
      </c>
      <c r="E14" s="7" t="s">
        <v>227</v>
      </c>
      <c r="F14" s="35" t="s">
        <v>158</v>
      </c>
      <c r="G14" s="7" t="s">
        <v>228</v>
      </c>
      <c r="H14" s="36" t="s">
        <v>160</v>
      </c>
      <c r="I14" s="49" t="s">
        <v>219</v>
      </c>
      <c r="J14" s="8" t="s">
        <v>23</v>
      </c>
      <c r="K14" s="50" t="s">
        <v>162</v>
      </c>
    </row>
    <row r="15" customFormat="false" ht="23.25" hidden="false" customHeight="true" outlineLevel="0" collapsed="false">
      <c r="A15" s="26" t="s">
        <v>229</v>
      </c>
      <c r="B15" s="26" t="s">
        <v>230</v>
      </c>
      <c r="C15" s="26" t="s">
        <v>231</v>
      </c>
      <c r="D15" s="27" t="s">
        <v>156</v>
      </c>
      <c r="E15" s="26" t="s">
        <v>232</v>
      </c>
      <c r="F15" s="27" t="s">
        <v>180</v>
      </c>
      <c r="G15" s="26" t="s">
        <v>233</v>
      </c>
      <c r="H15" s="29" t="s">
        <v>160</v>
      </c>
      <c r="I15" s="53" t="s">
        <v>219</v>
      </c>
      <c r="J15" s="31" t="s">
        <v>23</v>
      </c>
      <c r="K15" s="33" t="s">
        <v>162</v>
      </c>
    </row>
    <row r="16" customFormat="false" ht="34.5" hidden="false" customHeight="true" outlineLevel="0" collapsed="false">
      <c r="A16" s="26" t="s">
        <v>234</v>
      </c>
      <c r="B16" s="26" t="s">
        <v>235</v>
      </c>
      <c r="C16" s="26" t="s">
        <v>236</v>
      </c>
      <c r="D16" s="28" t="s">
        <v>156</v>
      </c>
      <c r="E16" s="26" t="s">
        <v>237</v>
      </c>
      <c r="F16" s="28" t="s">
        <v>158</v>
      </c>
      <c r="G16" s="26" t="s">
        <v>238</v>
      </c>
      <c r="H16" s="29" t="s">
        <v>160</v>
      </c>
      <c r="I16" s="53" t="s">
        <v>219</v>
      </c>
      <c r="J16" s="31" t="s">
        <v>23</v>
      </c>
      <c r="K16" s="33" t="s">
        <v>162</v>
      </c>
    </row>
    <row r="17" customFormat="false" ht="34.5" hidden="false" customHeight="true" outlineLevel="0" collapsed="false">
      <c r="A17" s="26" t="s">
        <v>239</v>
      </c>
      <c r="B17" s="26" t="s">
        <v>240</v>
      </c>
      <c r="C17" s="26" t="s">
        <v>241</v>
      </c>
      <c r="D17" s="27" t="s">
        <v>156</v>
      </c>
      <c r="E17" s="26" t="s">
        <v>242</v>
      </c>
      <c r="F17" s="43" t="s">
        <v>208</v>
      </c>
      <c r="G17" s="26" t="s">
        <v>243</v>
      </c>
      <c r="H17" s="29" t="s">
        <v>160</v>
      </c>
      <c r="I17" s="53" t="s">
        <v>219</v>
      </c>
      <c r="J17" s="31" t="s">
        <v>23</v>
      </c>
      <c r="K17" s="33" t="s">
        <v>162</v>
      </c>
    </row>
    <row r="18" customFormat="false" ht="23.25" hidden="false" customHeight="true" outlineLevel="0" collapsed="false">
      <c r="A18" s="26" t="s">
        <v>244</v>
      </c>
      <c r="B18" s="26" t="s">
        <v>245</v>
      </c>
      <c r="C18" s="26" t="s">
        <v>246</v>
      </c>
      <c r="D18" s="28" t="s">
        <v>156</v>
      </c>
      <c r="E18" s="26" t="s">
        <v>247</v>
      </c>
      <c r="F18" s="27" t="s">
        <v>180</v>
      </c>
      <c r="G18" s="26" t="s">
        <v>248</v>
      </c>
      <c r="H18" s="29" t="s">
        <v>160</v>
      </c>
      <c r="I18" s="44" t="s">
        <v>210</v>
      </c>
      <c r="J18" s="31" t="s">
        <v>45</v>
      </c>
      <c r="K18" s="33" t="s">
        <v>162</v>
      </c>
    </row>
    <row r="19" customFormat="false" ht="23.25" hidden="false" customHeight="true" outlineLevel="0" collapsed="false">
      <c r="A19" s="26" t="s">
        <v>249</v>
      </c>
      <c r="B19" s="26" t="s">
        <v>250</v>
      </c>
      <c r="C19" s="26" t="s">
        <v>251</v>
      </c>
      <c r="D19" s="28" t="s">
        <v>156</v>
      </c>
      <c r="E19" s="26" t="s">
        <v>252</v>
      </c>
      <c r="F19" s="27" t="s">
        <v>180</v>
      </c>
      <c r="G19" s="26" t="s">
        <v>253</v>
      </c>
      <c r="H19" s="29" t="s">
        <v>160</v>
      </c>
      <c r="I19" s="44" t="s">
        <v>210</v>
      </c>
      <c r="J19" s="31" t="s">
        <v>45</v>
      </c>
      <c r="K19" s="33" t="s">
        <v>162</v>
      </c>
    </row>
    <row r="20" customFormat="false" ht="23.25" hidden="false" customHeight="true" outlineLevel="0" collapsed="false">
      <c r="A20" s="7" t="s">
        <v>254</v>
      </c>
      <c r="B20" s="7" t="s">
        <v>255</v>
      </c>
      <c r="C20" s="7" t="s">
        <v>190</v>
      </c>
      <c r="D20" s="34" t="s">
        <v>191</v>
      </c>
      <c r="E20" s="7" t="s">
        <v>256</v>
      </c>
      <c r="F20" s="54" t="s">
        <v>208</v>
      </c>
      <c r="G20" s="7" t="s">
        <v>257</v>
      </c>
      <c r="H20" s="36" t="s">
        <v>160</v>
      </c>
      <c r="I20" s="55" t="s">
        <v>210</v>
      </c>
      <c r="J20" s="8" t="s">
        <v>45</v>
      </c>
      <c r="K20" s="38" t="s">
        <v>162</v>
      </c>
    </row>
    <row r="21" customFormat="false" ht="23.25" hidden="false" customHeight="true" outlineLevel="0" collapsed="false">
      <c r="A21" s="11" t="s">
        <v>258</v>
      </c>
      <c r="B21" s="11" t="s">
        <v>259</v>
      </c>
      <c r="C21" s="11" t="s">
        <v>190</v>
      </c>
      <c r="D21" s="34" t="s">
        <v>191</v>
      </c>
      <c r="E21" s="11" t="s">
        <v>260</v>
      </c>
      <c r="F21" s="56" t="s">
        <v>208</v>
      </c>
      <c r="G21" s="11" t="s">
        <v>261</v>
      </c>
      <c r="H21" s="36" t="s">
        <v>160</v>
      </c>
      <c r="I21" s="57" t="s">
        <v>210</v>
      </c>
      <c r="J21" s="12" t="s">
        <v>45</v>
      </c>
      <c r="K21" s="42" t="s">
        <v>162</v>
      </c>
    </row>
    <row r="22" customFormat="false" ht="15" hidden="false" customHeight="true" outlineLevel="0" collapsed="false">
      <c r="A22" s="7" t="s">
        <v>262</v>
      </c>
      <c r="B22" s="7" t="s">
        <v>263</v>
      </c>
      <c r="C22" s="7" t="s">
        <v>190</v>
      </c>
      <c r="D22" s="34" t="s">
        <v>191</v>
      </c>
      <c r="E22" s="7" t="s">
        <v>264</v>
      </c>
      <c r="F22" s="54" t="s">
        <v>208</v>
      </c>
      <c r="G22" s="7" t="s">
        <v>265</v>
      </c>
      <c r="H22" s="36" t="s">
        <v>160</v>
      </c>
      <c r="I22" s="55" t="s">
        <v>210</v>
      </c>
      <c r="J22" s="8" t="s">
        <v>45</v>
      </c>
      <c r="K22" s="38" t="s">
        <v>162</v>
      </c>
    </row>
    <row r="23" customFormat="false" ht="23.25" hidden="false" customHeight="true" outlineLevel="0" collapsed="false">
      <c r="A23" s="11" t="s">
        <v>266</v>
      </c>
      <c r="B23" s="11" t="s">
        <v>267</v>
      </c>
      <c r="C23" s="11" t="s">
        <v>190</v>
      </c>
      <c r="D23" s="34" t="s">
        <v>191</v>
      </c>
      <c r="E23" s="11" t="s">
        <v>268</v>
      </c>
      <c r="F23" s="56" t="s">
        <v>208</v>
      </c>
      <c r="G23" s="11" t="s">
        <v>269</v>
      </c>
      <c r="H23" s="36" t="s">
        <v>160</v>
      </c>
      <c r="I23" s="57" t="s">
        <v>210</v>
      </c>
      <c r="J23" s="12" t="s">
        <v>45</v>
      </c>
      <c r="K23" s="42" t="s">
        <v>162</v>
      </c>
    </row>
    <row r="24" customFormat="false" ht="23.25" hidden="false" customHeight="true" outlineLevel="0" collapsed="false">
      <c r="A24" s="7" t="s">
        <v>270</v>
      </c>
      <c r="B24" s="7" t="s">
        <v>271</v>
      </c>
      <c r="C24" s="7" t="s">
        <v>272</v>
      </c>
      <c r="D24" s="34" t="s">
        <v>191</v>
      </c>
      <c r="E24" s="7" t="s">
        <v>273</v>
      </c>
      <c r="F24" s="58" t="s">
        <v>180</v>
      </c>
      <c r="G24" s="7" t="s">
        <v>274</v>
      </c>
      <c r="H24" s="36" t="s">
        <v>160</v>
      </c>
      <c r="I24" s="59" t="s">
        <v>275</v>
      </c>
      <c r="J24" s="8" t="s">
        <v>45</v>
      </c>
      <c r="K24" s="50" t="s">
        <v>162</v>
      </c>
    </row>
    <row r="25" customFormat="false" ht="23.25" hidden="false" customHeight="true" outlineLevel="0" collapsed="false">
      <c r="A25" s="11" t="s">
        <v>276</v>
      </c>
      <c r="B25" s="11" t="s">
        <v>277</v>
      </c>
      <c r="C25" s="11" t="s">
        <v>278</v>
      </c>
      <c r="D25" s="34" t="s">
        <v>191</v>
      </c>
      <c r="E25" s="11" t="s">
        <v>279</v>
      </c>
      <c r="F25" s="40" t="s">
        <v>180</v>
      </c>
      <c r="G25" s="11" t="s">
        <v>280</v>
      </c>
      <c r="H25" s="36" t="s">
        <v>160</v>
      </c>
      <c r="I25" s="60" t="s">
        <v>275</v>
      </c>
      <c r="J25" s="12" t="s">
        <v>45</v>
      </c>
      <c r="K25" s="50" t="s">
        <v>162</v>
      </c>
    </row>
    <row r="26" customFormat="false" ht="23.25" hidden="false" customHeight="true" outlineLevel="0" collapsed="false">
      <c r="A26" s="26" t="s">
        <v>281</v>
      </c>
      <c r="B26" s="26" t="s">
        <v>282</v>
      </c>
      <c r="C26" s="26" t="s">
        <v>283</v>
      </c>
      <c r="D26" s="28" t="s">
        <v>156</v>
      </c>
      <c r="E26" s="26" t="s">
        <v>284</v>
      </c>
      <c r="F26" s="27" t="s">
        <v>180</v>
      </c>
      <c r="G26" s="26" t="s">
        <v>285</v>
      </c>
      <c r="H26" s="29" t="s">
        <v>160</v>
      </c>
      <c r="I26" s="61" t="s">
        <v>275</v>
      </c>
      <c r="J26" s="31" t="s">
        <v>45</v>
      </c>
      <c r="K26" s="33" t="s">
        <v>162</v>
      </c>
    </row>
    <row r="27" customFormat="false" ht="23.25" hidden="false" customHeight="true" outlineLevel="0" collapsed="false">
      <c r="A27" s="26" t="s">
        <v>286</v>
      </c>
      <c r="B27" s="26" t="s">
        <v>287</v>
      </c>
      <c r="C27" s="26" t="s">
        <v>288</v>
      </c>
      <c r="D27" s="28" t="s">
        <v>156</v>
      </c>
      <c r="E27" s="26" t="s">
        <v>289</v>
      </c>
      <c r="F27" s="27" t="s">
        <v>180</v>
      </c>
      <c r="G27" s="26" t="s">
        <v>290</v>
      </c>
      <c r="H27" s="29" t="s">
        <v>160</v>
      </c>
      <c r="I27" s="30" t="s">
        <v>161</v>
      </c>
      <c r="J27" s="31" t="s">
        <v>23</v>
      </c>
      <c r="K27" s="33" t="s">
        <v>162</v>
      </c>
    </row>
    <row r="28" customFormat="false" ht="23.25" hidden="false" customHeight="true" outlineLevel="0" collapsed="false">
      <c r="A28" s="26" t="s">
        <v>291</v>
      </c>
      <c r="B28" s="26" t="s">
        <v>292</v>
      </c>
      <c r="C28" s="26" t="s">
        <v>293</v>
      </c>
      <c r="D28" s="28" t="s">
        <v>156</v>
      </c>
      <c r="E28" s="26" t="s">
        <v>294</v>
      </c>
      <c r="F28" s="27" t="s">
        <v>180</v>
      </c>
      <c r="G28" s="26" t="s">
        <v>295</v>
      </c>
      <c r="H28" s="29" t="s">
        <v>160</v>
      </c>
      <c r="I28" s="30" t="s">
        <v>161</v>
      </c>
      <c r="J28" s="31" t="s">
        <v>23</v>
      </c>
      <c r="K28" s="33" t="s">
        <v>162</v>
      </c>
    </row>
    <row r="29" customFormat="false" ht="23.25" hidden="false" customHeight="true" outlineLevel="0" collapsed="false">
      <c r="A29" s="11" t="s">
        <v>296</v>
      </c>
      <c r="B29" s="11" t="s">
        <v>297</v>
      </c>
      <c r="C29" s="11" t="s">
        <v>190</v>
      </c>
      <c r="D29" s="34" t="s">
        <v>191</v>
      </c>
      <c r="E29" s="11" t="s">
        <v>298</v>
      </c>
      <c r="F29" s="56" t="s">
        <v>208</v>
      </c>
      <c r="G29" s="11" t="s">
        <v>299</v>
      </c>
      <c r="H29" s="36" t="s">
        <v>174</v>
      </c>
      <c r="I29" s="62" t="s">
        <v>161</v>
      </c>
      <c r="J29" s="12" t="s">
        <v>23</v>
      </c>
      <c r="K29" s="42" t="s">
        <v>300</v>
      </c>
    </row>
    <row r="30" customFormat="false" ht="23.25" hidden="false" customHeight="true" outlineLevel="0" collapsed="false">
      <c r="A30" s="7" t="s">
        <v>301</v>
      </c>
      <c r="B30" s="7" t="s">
        <v>302</v>
      </c>
      <c r="C30" s="7" t="s">
        <v>190</v>
      </c>
      <c r="D30" s="34" t="s">
        <v>156</v>
      </c>
      <c r="E30" s="7" t="s">
        <v>303</v>
      </c>
      <c r="F30" s="58" t="s">
        <v>180</v>
      </c>
      <c r="G30" s="7" t="s">
        <v>304</v>
      </c>
      <c r="H30" s="36" t="s">
        <v>160</v>
      </c>
      <c r="I30" s="37" t="s">
        <v>161</v>
      </c>
      <c r="J30" s="8" t="s">
        <v>23</v>
      </c>
      <c r="K30" s="38" t="s">
        <v>162</v>
      </c>
    </row>
    <row r="31" customFormat="false" ht="15" hidden="false" customHeight="true" outlineLevel="0" collapsed="false">
      <c r="A31" s="11" t="s">
        <v>305</v>
      </c>
      <c r="B31" s="11" t="s">
        <v>306</v>
      </c>
      <c r="C31" s="11" t="s">
        <v>307</v>
      </c>
      <c r="D31" s="45" t="s">
        <v>156</v>
      </c>
      <c r="E31" s="11" t="s">
        <v>190</v>
      </c>
      <c r="F31" s="11" t="s">
        <v>190</v>
      </c>
      <c r="G31" s="11" t="s">
        <v>308</v>
      </c>
      <c r="H31" s="46" t="s">
        <v>160</v>
      </c>
      <c r="I31" s="47" t="s">
        <v>190</v>
      </c>
      <c r="J31" s="12" t="s">
        <v>190</v>
      </c>
      <c r="K31" s="48" t="s">
        <v>162</v>
      </c>
    </row>
    <row r="32" customFormat="false" ht="23.25" hidden="false" customHeight="true" outlineLevel="0" collapsed="false">
      <c r="A32" s="26" t="s">
        <v>309</v>
      </c>
      <c r="B32" s="26" t="s">
        <v>310</v>
      </c>
      <c r="C32" s="26" t="s">
        <v>311</v>
      </c>
      <c r="D32" s="28" t="s">
        <v>156</v>
      </c>
      <c r="E32" s="26" t="s">
        <v>312</v>
      </c>
      <c r="F32" s="27" t="s">
        <v>180</v>
      </c>
      <c r="G32" s="26" t="s">
        <v>313</v>
      </c>
      <c r="H32" s="29" t="s">
        <v>160</v>
      </c>
      <c r="I32" s="39" t="s">
        <v>182</v>
      </c>
      <c r="J32" s="31" t="s">
        <v>17</v>
      </c>
      <c r="K32" s="33" t="s">
        <v>162</v>
      </c>
    </row>
    <row r="33" customFormat="false" ht="23.25" hidden="false" customHeight="true" outlineLevel="0" collapsed="false">
      <c r="A33" s="11" t="s">
        <v>314</v>
      </c>
      <c r="B33" s="11" t="s">
        <v>315</v>
      </c>
      <c r="C33" s="11" t="s">
        <v>190</v>
      </c>
      <c r="D33" s="34" t="s">
        <v>191</v>
      </c>
      <c r="E33" s="11" t="s">
        <v>316</v>
      </c>
      <c r="F33" s="11" t="s">
        <v>317</v>
      </c>
      <c r="G33" s="11" t="s">
        <v>318</v>
      </c>
      <c r="H33" s="36" t="s">
        <v>174</v>
      </c>
      <c r="I33" s="63" t="s">
        <v>319</v>
      </c>
      <c r="J33" s="12" t="s">
        <v>34</v>
      </c>
      <c r="K33" s="42" t="s">
        <v>300</v>
      </c>
    </row>
    <row r="34" customFormat="false" ht="15" hidden="false" customHeight="true" outlineLevel="0" collapsed="false">
      <c r="A34" s="7" t="s">
        <v>320</v>
      </c>
      <c r="B34" s="7" t="s">
        <v>321</v>
      </c>
      <c r="C34" s="7" t="s">
        <v>190</v>
      </c>
      <c r="D34" s="34" t="s">
        <v>156</v>
      </c>
      <c r="E34" s="7" t="s">
        <v>322</v>
      </c>
      <c r="F34" s="54" t="s">
        <v>208</v>
      </c>
      <c r="G34" s="7" t="s">
        <v>323</v>
      </c>
      <c r="H34" s="36" t="s">
        <v>160</v>
      </c>
      <c r="I34" s="37" t="s">
        <v>161</v>
      </c>
      <c r="J34" s="8" t="s">
        <v>23</v>
      </c>
      <c r="K34" s="38" t="s">
        <v>162</v>
      </c>
    </row>
    <row r="35" customFormat="false" ht="15" hidden="false" customHeight="true" outlineLevel="0" collapsed="false">
      <c r="A35" s="11" t="s">
        <v>324</v>
      </c>
      <c r="B35" s="11" t="s">
        <v>325</v>
      </c>
      <c r="C35" s="11" t="s">
        <v>190</v>
      </c>
      <c r="D35" s="34" t="s">
        <v>191</v>
      </c>
      <c r="E35" s="11" t="s">
        <v>326</v>
      </c>
      <c r="F35" s="56" t="s">
        <v>208</v>
      </c>
      <c r="G35" s="11" t="s">
        <v>327</v>
      </c>
      <c r="H35" s="36" t="s">
        <v>174</v>
      </c>
      <c r="I35" s="60" t="s">
        <v>275</v>
      </c>
      <c r="J35" s="12" t="s">
        <v>45</v>
      </c>
      <c r="K35" s="42" t="s">
        <v>300</v>
      </c>
    </row>
    <row r="36" customFormat="false" ht="23.25" hidden="false" customHeight="true" outlineLevel="0" collapsed="false">
      <c r="A36" s="7" t="s">
        <v>328</v>
      </c>
      <c r="B36" s="7" t="s">
        <v>329</v>
      </c>
      <c r="C36" s="7" t="s">
        <v>190</v>
      </c>
      <c r="D36" s="34" t="s">
        <v>191</v>
      </c>
      <c r="E36" s="7" t="s">
        <v>330</v>
      </c>
      <c r="F36" s="7" t="s">
        <v>317</v>
      </c>
      <c r="G36" s="7" t="s">
        <v>331</v>
      </c>
      <c r="H36" s="36" t="s">
        <v>174</v>
      </c>
      <c r="I36" s="59" t="s">
        <v>275</v>
      </c>
      <c r="J36" s="8" t="s">
        <v>45</v>
      </c>
      <c r="K36" s="38" t="s">
        <v>300</v>
      </c>
    </row>
    <row r="37" customFormat="false" ht="15" hidden="false" customHeight="true" outlineLevel="0" collapsed="false">
      <c r="A37" s="11" t="s">
        <v>332</v>
      </c>
      <c r="B37" s="11" t="s">
        <v>333</v>
      </c>
      <c r="C37" s="11" t="s">
        <v>190</v>
      </c>
      <c r="D37" s="34" t="s">
        <v>191</v>
      </c>
      <c r="E37" s="11" t="s">
        <v>334</v>
      </c>
      <c r="F37" s="11" t="s">
        <v>317</v>
      </c>
      <c r="G37" s="11" t="s">
        <v>335</v>
      </c>
      <c r="H37" s="36" t="s">
        <v>174</v>
      </c>
      <c r="I37" s="60" t="s">
        <v>275</v>
      </c>
      <c r="J37" s="12" t="s">
        <v>45</v>
      </c>
      <c r="K37" s="42" t="s">
        <v>300</v>
      </c>
    </row>
    <row r="38" customFormat="false" ht="23.25" hidden="false" customHeight="true" outlineLevel="0" collapsed="false">
      <c r="A38" s="7" t="s">
        <v>336</v>
      </c>
      <c r="B38" s="7" t="s">
        <v>337</v>
      </c>
      <c r="C38" s="7" t="s">
        <v>338</v>
      </c>
      <c r="D38" s="34" t="s">
        <v>171</v>
      </c>
      <c r="E38" s="7" t="s">
        <v>339</v>
      </c>
      <c r="F38" s="58" t="s">
        <v>180</v>
      </c>
      <c r="G38" s="7" t="s">
        <v>340</v>
      </c>
      <c r="H38" s="36" t="s">
        <v>174</v>
      </c>
      <c r="I38" s="59" t="s">
        <v>275</v>
      </c>
      <c r="J38" s="8" t="s">
        <v>45</v>
      </c>
      <c r="K38" s="38" t="s">
        <v>175</v>
      </c>
    </row>
    <row r="39" customFormat="false" ht="15" hidden="false" customHeight="true" outlineLevel="0" collapsed="false">
      <c r="A39" s="11" t="s">
        <v>341</v>
      </c>
      <c r="B39" s="11" t="s">
        <v>342</v>
      </c>
      <c r="C39" s="11" t="s">
        <v>343</v>
      </c>
      <c r="D39" s="34" t="s">
        <v>171</v>
      </c>
      <c r="E39" s="11" t="s">
        <v>344</v>
      </c>
      <c r="F39" s="40" t="s">
        <v>180</v>
      </c>
      <c r="G39" s="11" t="s">
        <v>345</v>
      </c>
      <c r="H39" s="36" t="s">
        <v>174</v>
      </c>
      <c r="I39" s="60" t="s">
        <v>275</v>
      </c>
      <c r="J39" s="12" t="s">
        <v>45</v>
      </c>
      <c r="K39" s="42" t="s">
        <v>175</v>
      </c>
    </row>
    <row r="40" customFormat="false" ht="23.25" hidden="false" customHeight="true" outlineLevel="0" collapsed="false">
      <c r="A40" s="7" t="s">
        <v>346</v>
      </c>
      <c r="B40" s="7" t="s">
        <v>347</v>
      </c>
      <c r="C40" s="7" t="s">
        <v>348</v>
      </c>
      <c r="D40" s="34" t="s">
        <v>171</v>
      </c>
      <c r="E40" s="7" t="s">
        <v>349</v>
      </c>
      <c r="F40" s="58" t="s">
        <v>180</v>
      </c>
      <c r="G40" s="7" t="s">
        <v>350</v>
      </c>
      <c r="H40" s="36" t="s">
        <v>174</v>
      </c>
      <c r="I40" s="59" t="s">
        <v>275</v>
      </c>
      <c r="J40" s="8" t="s">
        <v>45</v>
      </c>
      <c r="K40" s="38" t="s">
        <v>175</v>
      </c>
    </row>
  </sheetData>
  <autoFilter ref="A1:K40"/>
  <dataValidations count="3">
    <dataValidation allowBlank="true" error="Use ☐ or ☑" errorStyle="stop" errorTitle="Invalid" operator="between" showDropDown="false" showErrorMessage="false" showInputMessage="false" sqref="H2:H40" type="list">
      <formula1>"☐,☑"</formula1>
      <formula2>0</formula2>
    </dataValidation>
    <dataValidation allowBlank="true" errorStyle="stop" operator="between" showDropDown="false" showErrorMessage="false" showInputMessage="false" sqref="I2:I40" type="list">
      <formula1>"AR,PK,VS,NK,DM,SP,RG,AM,KS,PAIR,ALL"</formula1>
      <formula2>0</formula2>
    </dataValidation>
    <dataValidation allowBlank="true" errorStyle="stop" operator="between" showDropDown="false" showErrorMessage="false" showInputMessage="false" sqref="K2:K40" type="list">
      <formula1>"NOT STARTED,IN PROGRESS,IN REVIEW,BLOCKED,DONE"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ACC15"/>
    <pageSetUpPr fitToPage="false"/>
  </sheetPr>
  <dimension ref="A1:J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5"/>
    <col collapsed="false" customWidth="true" hidden="false" outlineLevel="0" max="2" min="2" style="1" width="40"/>
    <col collapsed="false" customWidth="true" hidden="false" outlineLevel="0" max="3" min="3" style="1" width="22"/>
    <col collapsed="false" customWidth="true" hidden="false" outlineLevel="0" max="4" min="4" style="1" width="12"/>
    <col collapsed="false" customWidth="true" hidden="false" outlineLevel="0" max="5" min="5" style="1" width="65"/>
    <col collapsed="false" customWidth="true" hidden="false" outlineLevel="0" max="6" min="6" style="1" width="8"/>
    <col collapsed="false" customWidth="true" hidden="false" outlineLevel="0" max="7" min="7" style="1" width="7"/>
    <col collapsed="false" customWidth="true" hidden="false" outlineLevel="0" max="8" min="8" style="1" width="18"/>
    <col collapsed="false" customWidth="true" hidden="false" outlineLevel="0" max="10" min="9" style="1" width="16"/>
  </cols>
  <sheetData>
    <row r="1" customFormat="false" ht="26.25" hidden="false" customHeight="true" outlineLevel="0" collapsed="false">
      <c r="A1" s="4" t="s">
        <v>351</v>
      </c>
      <c r="B1" s="4" t="s">
        <v>352</v>
      </c>
      <c r="C1" s="4" t="s">
        <v>353</v>
      </c>
      <c r="D1" s="4" t="s">
        <v>146</v>
      </c>
      <c r="E1" s="4" t="s">
        <v>354</v>
      </c>
      <c r="F1" s="4" t="s">
        <v>148</v>
      </c>
      <c r="G1" s="4" t="s">
        <v>150</v>
      </c>
      <c r="H1" s="4" t="s">
        <v>151</v>
      </c>
      <c r="I1" s="4" t="s">
        <v>5</v>
      </c>
      <c r="J1" s="4" t="s">
        <v>152</v>
      </c>
    </row>
    <row r="2" customFormat="false" ht="23.25" hidden="false" customHeight="true" outlineLevel="0" collapsed="false">
      <c r="A2" s="26" t="s">
        <v>355</v>
      </c>
      <c r="B2" s="26" t="s">
        <v>356</v>
      </c>
      <c r="C2" s="26" t="s">
        <v>357</v>
      </c>
      <c r="D2" s="27" t="s">
        <v>156</v>
      </c>
      <c r="E2" s="26" t="s">
        <v>358</v>
      </c>
      <c r="F2" s="27" t="s">
        <v>180</v>
      </c>
      <c r="G2" s="29" t="s">
        <v>160</v>
      </c>
      <c r="H2" s="64" t="s">
        <v>319</v>
      </c>
      <c r="I2" s="31" t="s">
        <v>34</v>
      </c>
      <c r="J2" s="32" t="s">
        <v>162</v>
      </c>
    </row>
    <row r="3" customFormat="false" ht="23.25" hidden="false" customHeight="true" outlineLevel="0" collapsed="false">
      <c r="A3" s="26" t="s">
        <v>359</v>
      </c>
      <c r="B3" s="26" t="s">
        <v>360</v>
      </c>
      <c r="C3" s="26" t="s">
        <v>361</v>
      </c>
      <c r="D3" s="27" t="s">
        <v>156</v>
      </c>
      <c r="E3" s="26" t="s">
        <v>362</v>
      </c>
      <c r="F3" s="28" t="s">
        <v>158</v>
      </c>
      <c r="G3" s="29" t="s">
        <v>160</v>
      </c>
      <c r="H3" s="65" t="s">
        <v>363</v>
      </c>
      <c r="I3" s="31" t="s">
        <v>34</v>
      </c>
      <c r="J3" s="33" t="s">
        <v>162</v>
      </c>
    </row>
    <row r="4" customFormat="false" ht="23.25" hidden="false" customHeight="true" outlineLevel="0" collapsed="false">
      <c r="A4" s="26" t="s">
        <v>364</v>
      </c>
      <c r="B4" s="26" t="s">
        <v>365</v>
      </c>
      <c r="C4" s="26" t="s">
        <v>366</v>
      </c>
      <c r="D4" s="28" t="s">
        <v>156</v>
      </c>
      <c r="E4" s="26" t="s">
        <v>367</v>
      </c>
      <c r="F4" s="28" t="s">
        <v>158</v>
      </c>
      <c r="G4" s="29" t="s">
        <v>160</v>
      </c>
      <c r="H4" s="65" t="s">
        <v>363</v>
      </c>
      <c r="I4" s="31" t="s">
        <v>34</v>
      </c>
      <c r="J4" s="33" t="s">
        <v>162</v>
      </c>
    </row>
    <row r="5" customFormat="false" ht="23.25" hidden="false" customHeight="true" outlineLevel="0" collapsed="false">
      <c r="A5" s="26" t="s">
        <v>368</v>
      </c>
      <c r="B5" s="26" t="s">
        <v>369</v>
      </c>
      <c r="C5" s="26" t="s">
        <v>370</v>
      </c>
      <c r="D5" s="27" t="s">
        <v>156</v>
      </c>
      <c r="E5" s="26" t="s">
        <v>371</v>
      </c>
      <c r="F5" s="28" t="s">
        <v>158</v>
      </c>
      <c r="G5" s="29" t="s">
        <v>160</v>
      </c>
      <c r="H5" s="65" t="s">
        <v>363</v>
      </c>
      <c r="I5" s="31" t="s">
        <v>34</v>
      </c>
      <c r="J5" s="33" t="s">
        <v>162</v>
      </c>
    </row>
    <row r="6" customFormat="false" ht="34.5" hidden="false" customHeight="true" outlineLevel="0" collapsed="false">
      <c r="A6" s="26" t="s">
        <v>372</v>
      </c>
      <c r="B6" s="26" t="s">
        <v>373</v>
      </c>
      <c r="C6" s="26" t="s">
        <v>374</v>
      </c>
      <c r="D6" s="28" t="s">
        <v>156</v>
      </c>
      <c r="E6" s="26" t="s">
        <v>375</v>
      </c>
      <c r="F6" s="28" t="s">
        <v>158</v>
      </c>
      <c r="G6" s="29" t="s">
        <v>160</v>
      </c>
      <c r="H6" s="65" t="s">
        <v>363</v>
      </c>
      <c r="I6" s="31" t="s">
        <v>34</v>
      </c>
      <c r="J6" s="33" t="s">
        <v>162</v>
      </c>
    </row>
    <row r="7" customFormat="false" ht="23.25" hidden="false" customHeight="true" outlineLevel="0" collapsed="false">
      <c r="A7" s="11" t="s">
        <v>376</v>
      </c>
      <c r="B7" s="11" t="s">
        <v>377</v>
      </c>
      <c r="C7" s="11" t="s">
        <v>190</v>
      </c>
      <c r="D7" s="34" t="s">
        <v>156</v>
      </c>
      <c r="E7" s="11" t="s">
        <v>378</v>
      </c>
      <c r="F7" s="51" t="s">
        <v>158</v>
      </c>
      <c r="G7" s="36" t="s">
        <v>160</v>
      </c>
      <c r="H7" s="66" t="s">
        <v>363</v>
      </c>
      <c r="I7" s="12" t="s">
        <v>34</v>
      </c>
      <c r="J7" s="42" t="s">
        <v>162</v>
      </c>
    </row>
    <row r="8" customFormat="false" ht="15" hidden="false" customHeight="true" outlineLevel="0" collapsed="false">
      <c r="A8" s="7" t="s">
        <v>379</v>
      </c>
      <c r="B8" s="7" t="s">
        <v>380</v>
      </c>
      <c r="C8" s="7" t="s">
        <v>381</v>
      </c>
      <c r="D8" s="34" t="s">
        <v>156</v>
      </c>
      <c r="E8" s="7" t="s">
        <v>382</v>
      </c>
      <c r="F8" s="58" t="s">
        <v>180</v>
      </c>
      <c r="G8" s="36" t="s">
        <v>160</v>
      </c>
      <c r="H8" s="67" t="s">
        <v>363</v>
      </c>
      <c r="I8" s="8" t="s">
        <v>34</v>
      </c>
      <c r="J8" s="50" t="s">
        <v>162</v>
      </c>
    </row>
    <row r="9" customFormat="false" ht="15" hidden="false" customHeight="true" outlineLevel="0" collapsed="false">
      <c r="A9" s="11" t="s">
        <v>383</v>
      </c>
      <c r="B9" s="11" t="s">
        <v>384</v>
      </c>
      <c r="C9" s="11" t="s">
        <v>190</v>
      </c>
      <c r="D9" s="34" t="s">
        <v>156</v>
      </c>
      <c r="E9" s="11" t="s">
        <v>385</v>
      </c>
      <c r="F9" s="40" t="s">
        <v>180</v>
      </c>
      <c r="G9" s="36" t="s">
        <v>160</v>
      </c>
      <c r="H9" s="66" t="s">
        <v>363</v>
      </c>
      <c r="I9" s="12" t="s">
        <v>34</v>
      </c>
      <c r="J9" s="42" t="s">
        <v>162</v>
      </c>
    </row>
    <row r="10" customFormat="false" ht="15" hidden="false" customHeight="true" outlineLevel="0" collapsed="false">
      <c r="A10" s="7" t="s">
        <v>386</v>
      </c>
      <c r="B10" s="7" t="s">
        <v>387</v>
      </c>
      <c r="C10" s="7" t="s">
        <v>190</v>
      </c>
      <c r="D10" s="34" t="s">
        <v>191</v>
      </c>
      <c r="E10" s="7" t="s">
        <v>388</v>
      </c>
      <c r="F10" s="58" t="s">
        <v>180</v>
      </c>
      <c r="G10" s="36" t="s">
        <v>174</v>
      </c>
      <c r="H10" s="67" t="s">
        <v>363</v>
      </c>
      <c r="I10" s="8" t="s">
        <v>34</v>
      </c>
      <c r="J10" s="38" t="s">
        <v>300</v>
      </c>
    </row>
    <row r="11" customFormat="false" ht="23.25" hidden="false" customHeight="true" outlineLevel="0" collapsed="false">
      <c r="A11" s="26" t="s">
        <v>389</v>
      </c>
      <c r="B11" s="26" t="s">
        <v>390</v>
      </c>
      <c r="C11" s="26" t="s">
        <v>391</v>
      </c>
      <c r="D11" s="27" t="s">
        <v>156</v>
      </c>
      <c r="E11" s="26" t="s">
        <v>392</v>
      </c>
      <c r="F11" s="28" t="s">
        <v>158</v>
      </c>
      <c r="G11" s="29" t="s">
        <v>160</v>
      </c>
      <c r="H11" s="64" t="s">
        <v>319</v>
      </c>
      <c r="I11" s="31" t="s">
        <v>34</v>
      </c>
      <c r="J11" s="32" t="s">
        <v>162</v>
      </c>
    </row>
    <row r="12" customFormat="false" ht="23.25" hidden="false" customHeight="true" outlineLevel="0" collapsed="false">
      <c r="A12" s="26" t="s">
        <v>393</v>
      </c>
      <c r="B12" s="26" t="s">
        <v>394</v>
      </c>
      <c r="C12" s="26" t="s">
        <v>395</v>
      </c>
      <c r="D12" s="28" t="s">
        <v>156</v>
      </c>
      <c r="E12" s="26" t="s">
        <v>396</v>
      </c>
      <c r="F12" s="28" t="s">
        <v>158</v>
      </c>
      <c r="G12" s="29" t="s">
        <v>160</v>
      </c>
      <c r="H12" s="65" t="s">
        <v>363</v>
      </c>
      <c r="I12" s="31" t="s">
        <v>34</v>
      </c>
      <c r="J12" s="33" t="s">
        <v>162</v>
      </c>
    </row>
    <row r="13" customFormat="false" ht="23.25" hidden="false" customHeight="true" outlineLevel="0" collapsed="false">
      <c r="A13" s="26" t="s">
        <v>397</v>
      </c>
      <c r="B13" s="26" t="s">
        <v>398</v>
      </c>
      <c r="C13" s="26" t="s">
        <v>399</v>
      </c>
      <c r="D13" s="28" t="s">
        <v>156</v>
      </c>
      <c r="E13" s="26" t="s">
        <v>400</v>
      </c>
      <c r="F13" s="28" t="s">
        <v>158</v>
      </c>
      <c r="G13" s="29" t="s">
        <v>160</v>
      </c>
      <c r="H13" s="65" t="s">
        <v>363</v>
      </c>
      <c r="I13" s="31" t="s">
        <v>34</v>
      </c>
      <c r="J13" s="33" t="s">
        <v>162</v>
      </c>
    </row>
    <row r="14" customFormat="false" ht="15" hidden="false" customHeight="true" outlineLevel="0" collapsed="false">
      <c r="A14" s="7" t="s">
        <v>401</v>
      </c>
      <c r="B14" s="7" t="s">
        <v>402</v>
      </c>
      <c r="C14" s="7" t="s">
        <v>403</v>
      </c>
      <c r="D14" s="34" t="s">
        <v>156</v>
      </c>
      <c r="E14" s="7" t="s">
        <v>404</v>
      </c>
      <c r="F14" s="58" t="s">
        <v>180</v>
      </c>
      <c r="G14" s="36" t="s">
        <v>160</v>
      </c>
      <c r="H14" s="67" t="s">
        <v>363</v>
      </c>
      <c r="I14" s="8" t="s">
        <v>34</v>
      </c>
      <c r="J14" s="50" t="s">
        <v>162</v>
      </c>
    </row>
    <row r="15" customFormat="false" ht="23.25" hidden="false" customHeight="true" outlineLevel="0" collapsed="false">
      <c r="A15" s="26" t="s">
        <v>405</v>
      </c>
      <c r="B15" s="26" t="s">
        <v>406</v>
      </c>
      <c r="C15" s="26" t="s">
        <v>407</v>
      </c>
      <c r="D15" s="27" t="s">
        <v>156</v>
      </c>
      <c r="E15" s="26" t="s">
        <v>408</v>
      </c>
      <c r="F15" s="27" t="s">
        <v>180</v>
      </c>
      <c r="G15" s="29" t="s">
        <v>160</v>
      </c>
      <c r="H15" s="64" t="s">
        <v>319</v>
      </c>
      <c r="I15" s="31" t="s">
        <v>34</v>
      </c>
      <c r="J15" s="32" t="s">
        <v>162</v>
      </c>
    </row>
    <row r="16" customFormat="false" ht="23.25" hidden="false" customHeight="true" outlineLevel="0" collapsed="false">
      <c r="A16" s="26" t="s">
        <v>409</v>
      </c>
      <c r="B16" s="26" t="s">
        <v>410</v>
      </c>
      <c r="C16" s="26" t="s">
        <v>411</v>
      </c>
      <c r="D16" s="27" t="s">
        <v>156</v>
      </c>
      <c r="E16" s="26" t="s">
        <v>412</v>
      </c>
      <c r="F16" s="28" t="s">
        <v>158</v>
      </c>
      <c r="G16" s="29" t="s">
        <v>160</v>
      </c>
      <c r="H16" s="65" t="s">
        <v>363</v>
      </c>
      <c r="I16" s="31" t="s">
        <v>34</v>
      </c>
      <c r="J16" s="33" t="s">
        <v>162</v>
      </c>
    </row>
    <row r="17" customFormat="false" ht="23.25" hidden="false" customHeight="true" outlineLevel="0" collapsed="false">
      <c r="A17" s="26" t="s">
        <v>413</v>
      </c>
      <c r="B17" s="26" t="s">
        <v>414</v>
      </c>
      <c r="C17" s="26" t="s">
        <v>415</v>
      </c>
      <c r="D17" s="27" t="s">
        <v>156</v>
      </c>
      <c r="E17" s="26" t="s">
        <v>416</v>
      </c>
      <c r="F17" s="27" t="s">
        <v>180</v>
      </c>
      <c r="G17" s="29" t="s">
        <v>160</v>
      </c>
      <c r="H17" s="64" t="s">
        <v>319</v>
      </c>
      <c r="I17" s="31" t="s">
        <v>34</v>
      </c>
      <c r="J17" s="32" t="s">
        <v>162</v>
      </c>
    </row>
    <row r="18" customFormat="false" ht="23.25" hidden="false" customHeight="true" outlineLevel="0" collapsed="false">
      <c r="A18" s="26" t="s">
        <v>417</v>
      </c>
      <c r="B18" s="26" t="s">
        <v>418</v>
      </c>
      <c r="C18" s="26" t="s">
        <v>419</v>
      </c>
      <c r="D18" s="28" t="s">
        <v>156</v>
      </c>
      <c r="E18" s="26" t="s">
        <v>420</v>
      </c>
      <c r="F18" s="28" t="s">
        <v>158</v>
      </c>
      <c r="G18" s="29" t="s">
        <v>160</v>
      </c>
      <c r="H18" s="65" t="s">
        <v>363</v>
      </c>
      <c r="I18" s="31" t="s">
        <v>34</v>
      </c>
      <c r="J18" s="33" t="s">
        <v>162</v>
      </c>
    </row>
    <row r="19" customFormat="false" ht="23.25" hidden="false" customHeight="true" outlineLevel="0" collapsed="false">
      <c r="A19" s="11" t="s">
        <v>421</v>
      </c>
      <c r="B19" s="11" t="s">
        <v>422</v>
      </c>
      <c r="C19" s="11" t="s">
        <v>423</v>
      </c>
      <c r="D19" s="34" t="s">
        <v>156</v>
      </c>
      <c r="E19" s="11" t="s">
        <v>424</v>
      </c>
      <c r="F19" s="51" t="s">
        <v>158</v>
      </c>
      <c r="G19" s="36" t="s">
        <v>160</v>
      </c>
      <c r="H19" s="66" t="s">
        <v>363</v>
      </c>
      <c r="I19" s="12" t="s">
        <v>34</v>
      </c>
      <c r="J19" s="50" t="s">
        <v>162</v>
      </c>
    </row>
    <row r="20" customFormat="false" ht="23.25" hidden="false" customHeight="true" outlineLevel="0" collapsed="false">
      <c r="A20" s="26" t="s">
        <v>425</v>
      </c>
      <c r="B20" s="26" t="s">
        <v>426</v>
      </c>
      <c r="C20" s="26" t="s">
        <v>427</v>
      </c>
      <c r="D20" s="27" t="s">
        <v>156</v>
      </c>
      <c r="E20" s="26" t="s">
        <v>428</v>
      </c>
      <c r="F20" s="27" t="s">
        <v>180</v>
      </c>
      <c r="G20" s="29" t="s">
        <v>160</v>
      </c>
      <c r="H20" s="64" t="s">
        <v>319</v>
      </c>
      <c r="I20" s="31" t="s">
        <v>34</v>
      </c>
      <c r="J20" s="32" t="s">
        <v>162</v>
      </c>
    </row>
    <row r="21" customFormat="false" ht="23.25" hidden="false" customHeight="true" outlineLevel="0" collapsed="false">
      <c r="A21" s="26" t="s">
        <v>429</v>
      </c>
      <c r="B21" s="26" t="s">
        <v>430</v>
      </c>
      <c r="C21" s="26" t="s">
        <v>431</v>
      </c>
      <c r="D21" s="27" t="s">
        <v>156</v>
      </c>
      <c r="E21" s="26" t="s">
        <v>432</v>
      </c>
      <c r="F21" s="28" t="s">
        <v>158</v>
      </c>
      <c r="G21" s="29" t="s">
        <v>160</v>
      </c>
      <c r="H21" s="44" t="s">
        <v>210</v>
      </c>
      <c r="I21" s="31" t="s">
        <v>45</v>
      </c>
      <c r="J21" s="33" t="s">
        <v>162</v>
      </c>
    </row>
    <row r="22" customFormat="false" ht="23.25" hidden="false" customHeight="true" outlineLevel="0" collapsed="false">
      <c r="A22" s="26" t="s">
        <v>45</v>
      </c>
      <c r="B22" s="26" t="s">
        <v>433</v>
      </c>
      <c r="C22" s="26" t="s">
        <v>434</v>
      </c>
      <c r="D22" s="27" t="s">
        <v>156</v>
      </c>
      <c r="E22" s="26" t="s">
        <v>435</v>
      </c>
      <c r="F22" s="27" t="s">
        <v>180</v>
      </c>
      <c r="G22" s="29" t="s">
        <v>160</v>
      </c>
      <c r="H22" s="44" t="s">
        <v>210</v>
      </c>
      <c r="I22" s="31" t="s">
        <v>45</v>
      </c>
      <c r="J22" s="33" t="s">
        <v>162</v>
      </c>
    </row>
    <row r="23" customFormat="false" ht="23.25" hidden="false" customHeight="true" outlineLevel="0" collapsed="false">
      <c r="A23" s="26" t="s">
        <v>436</v>
      </c>
      <c r="B23" s="26" t="s">
        <v>437</v>
      </c>
      <c r="C23" s="26" t="s">
        <v>438</v>
      </c>
      <c r="D23" s="27" t="s">
        <v>156</v>
      </c>
      <c r="E23" s="26" t="s">
        <v>439</v>
      </c>
      <c r="F23" s="27" t="s">
        <v>180</v>
      </c>
      <c r="G23" s="29" t="s">
        <v>160</v>
      </c>
      <c r="H23" s="64" t="s">
        <v>319</v>
      </c>
      <c r="I23" s="31" t="s">
        <v>34</v>
      </c>
      <c r="J23" s="32" t="s">
        <v>162</v>
      </c>
    </row>
    <row r="24" customFormat="false" ht="15" hidden="false" customHeight="true" outlineLevel="0" collapsed="false">
      <c r="A24" s="26" t="s">
        <v>440</v>
      </c>
      <c r="B24" s="26" t="s">
        <v>441</v>
      </c>
      <c r="C24" s="26" t="s">
        <v>442</v>
      </c>
      <c r="D24" s="27" t="s">
        <v>156</v>
      </c>
      <c r="E24" s="26" t="s">
        <v>443</v>
      </c>
      <c r="F24" s="27" t="s">
        <v>180</v>
      </c>
      <c r="G24" s="29" t="s">
        <v>160</v>
      </c>
      <c r="H24" s="64" t="s">
        <v>319</v>
      </c>
      <c r="I24" s="31" t="s">
        <v>34</v>
      </c>
      <c r="J24" s="33" t="s">
        <v>162</v>
      </c>
    </row>
    <row r="25" customFormat="false" ht="23.25" hidden="false" customHeight="true" outlineLevel="0" collapsed="false">
      <c r="A25" s="26" t="s">
        <v>444</v>
      </c>
      <c r="B25" s="26" t="s">
        <v>445</v>
      </c>
      <c r="C25" s="26" t="s">
        <v>446</v>
      </c>
      <c r="D25" s="28" t="s">
        <v>156</v>
      </c>
      <c r="E25" s="26" t="s">
        <v>447</v>
      </c>
      <c r="F25" s="43" t="s">
        <v>208</v>
      </c>
      <c r="G25" s="29" t="s">
        <v>160</v>
      </c>
      <c r="H25" s="64" t="s">
        <v>319</v>
      </c>
      <c r="I25" s="31" t="s">
        <v>34</v>
      </c>
      <c r="J25" s="33" t="s">
        <v>162</v>
      </c>
    </row>
    <row r="26" customFormat="false" ht="15" hidden="false" customHeight="true" outlineLevel="0" collapsed="false">
      <c r="A26" s="26" t="s">
        <v>448</v>
      </c>
      <c r="B26" s="26" t="s">
        <v>449</v>
      </c>
      <c r="C26" s="26" t="s">
        <v>450</v>
      </c>
      <c r="D26" s="28" t="s">
        <v>156</v>
      </c>
      <c r="E26" s="26" t="s">
        <v>451</v>
      </c>
      <c r="F26" s="28" t="s">
        <v>158</v>
      </c>
      <c r="G26" s="29" t="s">
        <v>160</v>
      </c>
      <c r="H26" s="64" t="s">
        <v>319</v>
      </c>
      <c r="I26" s="31" t="s">
        <v>34</v>
      </c>
      <c r="J26" s="33" t="s">
        <v>162</v>
      </c>
    </row>
    <row r="27" customFormat="false" ht="23.25" hidden="false" customHeight="true" outlineLevel="0" collapsed="false">
      <c r="A27" s="26" t="s">
        <v>452</v>
      </c>
      <c r="B27" s="26" t="s">
        <v>453</v>
      </c>
      <c r="C27" s="26" t="s">
        <v>454</v>
      </c>
      <c r="D27" s="28" t="s">
        <v>156</v>
      </c>
      <c r="E27" s="26" t="s">
        <v>455</v>
      </c>
      <c r="F27" s="27" t="s">
        <v>180</v>
      </c>
      <c r="G27" s="29" t="s">
        <v>160</v>
      </c>
      <c r="H27" s="64" t="s">
        <v>319</v>
      </c>
      <c r="I27" s="31" t="s">
        <v>34</v>
      </c>
      <c r="J27" s="33" t="s">
        <v>162</v>
      </c>
    </row>
    <row r="28" customFormat="false" ht="15" hidden="false" customHeight="true" outlineLevel="0" collapsed="false">
      <c r="A28" s="26" t="s">
        <v>456</v>
      </c>
      <c r="B28" s="26" t="s">
        <v>457</v>
      </c>
      <c r="C28" s="26" t="s">
        <v>458</v>
      </c>
      <c r="D28" s="28" t="s">
        <v>156</v>
      </c>
      <c r="E28" s="26" t="s">
        <v>459</v>
      </c>
      <c r="F28" s="27" t="s">
        <v>180</v>
      </c>
      <c r="G28" s="29" t="s">
        <v>160</v>
      </c>
      <c r="H28" s="61" t="s">
        <v>275</v>
      </c>
      <c r="I28" s="31" t="s">
        <v>45</v>
      </c>
      <c r="J28" s="33" t="s">
        <v>162</v>
      </c>
    </row>
    <row r="29" customFormat="false" ht="15" hidden="false" customHeight="true" outlineLevel="0" collapsed="false">
      <c r="A29" s="26" t="s">
        <v>460</v>
      </c>
      <c r="B29" s="26" t="s">
        <v>461</v>
      </c>
      <c r="C29" s="26" t="s">
        <v>462</v>
      </c>
      <c r="D29" s="28" t="s">
        <v>156</v>
      </c>
      <c r="E29" s="26" t="s">
        <v>463</v>
      </c>
      <c r="F29" s="43" t="s">
        <v>208</v>
      </c>
      <c r="G29" s="29" t="s">
        <v>160</v>
      </c>
      <c r="H29" s="61" t="s">
        <v>275</v>
      </c>
      <c r="I29" s="31" t="s">
        <v>45</v>
      </c>
      <c r="J29" s="33" t="s">
        <v>162</v>
      </c>
    </row>
    <row r="30" customFormat="false" ht="15" hidden="false" customHeight="true" outlineLevel="0" collapsed="false">
      <c r="A30" s="7" t="s">
        <v>464</v>
      </c>
      <c r="B30" s="7" t="s">
        <v>465</v>
      </c>
      <c r="C30" s="7" t="s">
        <v>190</v>
      </c>
      <c r="D30" s="34" t="s">
        <v>156</v>
      </c>
      <c r="E30" s="7" t="s">
        <v>466</v>
      </c>
      <c r="F30" s="54" t="s">
        <v>208</v>
      </c>
      <c r="G30" s="36" t="s">
        <v>160</v>
      </c>
      <c r="H30" s="59" t="s">
        <v>275</v>
      </c>
      <c r="I30" s="8" t="s">
        <v>45</v>
      </c>
      <c r="J30" s="38" t="s">
        <v>162</v>
      </c>
    </row>
    <row r="31" customFormat="false" ht="15" hidden="false" customHeight="true" outlineLevel="0" collapsed="false">
      <c r="A31" s="11" t="s">
        <v>467</v>
      </c>
      <c r="B31" s="11" t="s">
        <v>468</v>
      </c>
      <c r="C31" s="11" t="s">
        <v>190</v>
      </c>
      <c r="D31" s="34" t="s">
        <v>191</v>
      </c>
      <c r="E31" s="11" t="s">
        <v>469</v>
      </c>
      <c r="F31" s="56" t="s">
        <v>208</v>
      </c>
      <c r="G31" s="36" t="s">
        <v>174</v>
      </c>
      <c r="H31" s="66" t="s">
        <v>363</v>
      </c>
      <c r="I31" s="12" t="s">
        <v>34</v>
      </c>
      <c r="J31" s="42" t="s">
        <v>300</v>
      </c>
    </row>
    <row r="32" customFormat="false" ht="15" hidden="false" customHeight="true" outlineLevel="0" collapsed="false">
      <c r="A32" s="7" t="s">
        <v>470</v>
      </c>
      <c r="B32" s="7" t="s">
        <v>471</v>
      </c>
      <c r="C32" s="7" t="s">
        <v>190</v>
      </c>
      <c r="D32" s="34" t="s">
        <v>156</v>
      </c>
      <c r="E32" s="7" t="s">
        <v>472</v>
      </c>
      <c r="F32" s="54" t="s">
        <v>208</v>
      </c>
      <c r="G32" s="36" t="s">
        <v>160</v>
      </c>
      <c r="H32" s="68" t="s">
        <v>319</v>
      </c>
      <c r="I32" s="8" t="s">
        <v>34</v>
      </c>
      <c r="J32" s="38" t="s">
        <v>162</v>
      </c>
    </row>
    <row r="33" customFormat="false" ht="15" hidden="false" customHeight="true" outlineLevel="0" collapsed="false">
      <c r="A33" s="11" t="s">
        <v>473</v>
      </c>
      <c r="B33" s="11" t="s">
        <v>474</v>
      </c>
      <c r="C33" s="11" t="s">
        <v>190</v>
      </c>
      <c r="D33" s="34" t="s">
        <v>156</v>
      </c>
      <c r="E33" s="11" t="s">
        <v>475</v>
      </c>
      <c r="F33" s="40" t="s">
        <v>180</v>
      </c>
      <c r="G33" s="36" t="s">
        <v>160</v>
      </c>
      <c r="H33" s="63" t="s">
        <v>319</v>
      </c>
      <c r="I33" s="12" t="s">
        <v>34</v>
      </c>
      <c r="J33" s="42" t="s">
        <v>162</v>
      </c>
    </row>
    <row r="34" customFormat="false" ht="15" hidden="false" customHeight="true" outlineLevel="0" collapsed="false">
      <c r="A34" s="7" t="s">
        <v>476</v>
      </c>
      <c r="B34" s="7" t="s">
        <v>477</v>
      </c>
      <c r="C34" s="7" t="s">
        <v>190</v>
      </c>
      <c r="D34" s="34" t="s">
        <v>156</v>
      </c>
      <c r="E34" s="7" t="s">
        <v>478</v>
      </c>
      <c r="F34" s="7" t="s">
        <v>317</v>
      </c>
      <c r="G34" s="36" t="s">
        <v>160</v>
      </c>
      <c r="H34" s="59" t="s">
        <v>275</v>
      </c>
      <c r="I34" s="8" t="s">
        <v>45</v>
      </c>
      <c r="J34" s="38" t="s">
        <v>162</v>
      </c>
    </row>
    <row r="35" customFormat="false" ht="15" hidden="false" customHeight="true" outlineLevel="0" collapsed="false">
      <c r="A35" s="69" t="s">
        <v>479</v>
      </c>
      <c r="B35" s="69" t="s">
        <v>480</v>
      </c>
      <c r="C35" s="69" t="s">
        <v>481</v>
      </c>
      <c r="D35" s="69" t="s">
        <v>156</v>
      </c>
      <c r="E35" s="69" t="s">
        <v>482</v>
      </c>
      <c r="F35" s="69" t="s">
        <v>208</v>
      </c>
      <c r="G35" s="69" t="s">
        <v>160</v>
      </c>
      <c r="H35" s="69" t="s">
        <v>31</v>
      </c>
      <c r="I35" s="69" t="s">
        <v>34</v>
      </c>
      <c r="J35" s="69" t="s">
        <v>162</v>
      </c>
    </row>
    <row r="36" customFormat="false" ht="15" hidden="false" customHeight="true" outlineLevel="0" collapsed="false">
      <c r="A36" s="69" t="s">
        <v>483</v>
      </c>
      <c r="B36" s="69" t="s">
        <v>480</v>
      </c>
      <c r="C36" s="69" t="s">
        <v>484</v>
      </c>
      <c r="D36" s="69" t="s">
        <v>156</v>
      </c>
      <c r="E36" s="69" t="s">
        <v>485</v>
      </c>
      <c r="F36" s="69" t="s">
        <v>208</v>
      </c>
      <c r="G36" s="69" t="s">
        <v>160</v>
      </c>
      <c r="H36" s="69" t="s">
        <v>31</v>
      </c>
      <c r="I36" s="69" t="s">
        <v>34</v>
      </c>
      <c r="J36" s="69" t="s">
        <v>162</v>
      </c>
    </row>
    <row r="37" customFormat="false" ht="15" hidden="false" customHeight="true" outlineLevel="0" collapsed="false">
      <c r="A37" s="69" t="s">
        <v>486</v>
      </c>
      <c r="B37" s="69" t="s">
        <v>480</v>
      </c>
      <c r="C37" s="69" t="s">
        <v>487</v>
      </c>
      <c r="D37" s="69" t="s">
        <v>156</v>
      </c>
      <c r="E37" s="69" t="s">
        <v>488</v>
      </c>
      <c r="F37" s="69" t="s">
        <v>317</v>
      </c>
      <c r="G37" s="69" t="s">
        <v>160</v>
      </c>
      <c r="H37" s="69" t="s">
        <v>31</v>
      </c>
      <c r="I37" s="69" t="s">
        <v>34</v>
      </c>
      <c r="J37" s="69" t="s">
        <v>162</v>
      </c>
    </row>
    <row r="38" customFormat="false" ht="15" hidden="false" customHeight="true" outlineLevel="0" collapsed="false">
      <c r="A38" s="69" t="s">
        <v>489</v>
      </c>
      <c r="B38" s="69" t="s">
        <v>480</v>
      </c>
      <c r="C38" s="69" t="s">
        <v>490</v>
      </c>
      <c r="D38" s="69" t="s">
        <v>156</v>
      </c>
      <c r="E38" s="69" t="s">
        <v>491</v>
      </c>
      <c r="F38" s="69" t="s">
        <v>317</v>
      </c>
      <c r="G38" s="69" t="s">
        <v>160</v>
      </c>
      <c r="H38" s="69" t="s">
        <v>14</v>
      </c>
      <c r="I38" s="69" t="s">
        <v>17</v>
      </c>
      <c r="J38" s="69" t="s">
        <v>162</v>
      </c>
    </row>
    <row r="39" customFormat="false" ht="15" hidden="false" customHeight="true" outlineLevel="0" collapsed="false">
      <c r="A39" s="69" t="s">
        <v>492</v>
      </c>
      <c r="B39" s="69" t="s">
        <v>480</v>
      </c>
      <c r="C39" s="69" t="s">
        <v>493</v>
      </c>
      <c r="D39" s="69" t="s">
        <v>156</v>
      </c>
      <c r="E39" s="69" t="s">
        <v>494</v>
      </c>
      <c r="F39" s="69" t="s">
        <v>208</v>
      </c>
      <c r="G39" s="69" t="s">
        <v>160</v>
      </c>
      <c r="H39" s="69" t="s">
        <v>26</v>
      </c>
      <c r="I39" s="69" t="s">
        <v>495</v>
      </c>
      <c r="J39" s="69" t="s">
        <v>162</v>
      </c>
    </row>
    <row r="40" customFormat="false" ht="15" hidden="false" customHeight="true" outlineLevel="0" collapsed="false">
      <c r="A40" s="69" t="s">
        <v>496</v>
      </c>
      <c r="B40" s="69" t="s">
        <v>480</v>
      </c>
      <c r="C40" s="69" t="s">
        <v>497</v>
      </c>
      <c r="D40" s="69" t="s">
        <v>156</v>
      </c>
      <c r="E40" s="69" t="s">
        <v>498</v>
      </c>
      <c r="F40" s="69" t="s">
        <v>208</v>
      </c>
      <c r="G40" s="69" t="s">
        <v>160</v>
      </c>
      <c r="H40" s="69" t="s">
        <v>42</v>
      </c>
      <c r="I40" s="69" t="s">
        <v>45</v>
      </c>
      <c r="J40" s="69" t="s">
        <v>162</v>
      </c>
    </row>
  </sheetData>
  <autoFilter ref="A1:J34"/>
  <dataValidations count="3">
    <dataValidation allowBlank="true" error="Use ☐ or ☑" errorStyle="stop" errorTitle="Invalid" operator="between" showDropDown="false" showErrorMessage="false" showInputMessage="false" sqref="G2:G34" type="list">
      <formula1>"☐,☑"</formula1>
      <formula2>0</formula2>
    </dataValidation>
    <dataValidation allowBlank="true" errorStyle="stop" operator="between" showDropDown="false" showErrorMessage="false" showInputMessage="false" sqref="H2:H34" type="list">
      <formula1>"AR,PK,VS,NK,DM,SP,RG,AM,KS,PAIR,ALL"</formula1>
      <formula2>0</formula2>
    </dataValidation>
    <dataValidation allowBlank="true" errorStyle="stop" operator="between" showDropDown="false" showErrorMessage="false" showInputMessage="false" sqref="J2:J34" type="list">
      <formula1>"NOT STARTED,IN PROGRESS,IN REVIEW,BLOCKED,DONE"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0A5FA"/>
    <pageSetUpPr fitToPage="false"/>
  </sheetPr>
  <dimension ref="A1:J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5"/>
    <col collapsed="false" customWidth="true" hidden="false" outlineLevel="0" max="2" min="2" style="1" width="40"/>
    <col collapsed="false" customWidth="true" hidden="false" outlineLevel="0" max="3" min="3" style="1" width="28"/>
    <col collapsed="false" customWidth="true" hidden="false" outlineLevel="0" max="4" min="4" style="1" width="12"/>
    <col collapsed="false" customWidth="true" hidden="false" outlineLevel="0" max="5" min="5" style="1" width="65"/>
    <col collapsed="false" customWidth="true" hidden="false" outlineLevel="0" max="6" min="6" style="1" width="8"/>
    <col collapsed="false" customWidth="true" hidden="false" outlineLevel="0" max="7" min="7" style="1" width="7"/>
    <col collapsed="false" customWidth="true" hidden="false" outlineLevel="0" max="8" min="8" style="1" width="18"/>
    <col collapsed="false" customWidth="true" hidden="false" outlineLevel="0" max="10" min="9" style="1" width="16"/>
  </cols>
  <sheetData>
    <row r="1" customFormat="false" ht="26.25" hidden="false" customHeight="true" outlineLevel="0" collapsed="false">
      <c r="A1" s="4" t="s">
        <v>499</v>
      </c>
      <c r="B1" s="4" t="s">
        <v>500</v>
      </c>
      <c r="C1" s="4" t="s">
        <v>501</v>
      </c>
      <c r="D1" s="4" t="s">
        <v>146</v>
      </c>
      <c r="E1" s="4" t="s">
        <v>502</v>
      </c>
      <c r="F1" s="4" t="s">
        <v>148</v>
      </c>
      <c r="G1" s="4" t="s">
        <v>150</v>
      </c>
      <c r="H1" s="4" t="s">
        <v>151</v>
      </c>
      <c r="I1" s="4" t="s">
        <v>5</v>
      </c>
      <c r="J1" s="4" t="s">
        <v>152</v>
      </c>
    </row>
    <row r="2" customFormat="false" ht="23.25" hidden="false" customHeight="true" outlineLevel="0" collapsed="false">
      <c r="A2" s="26" t="s">
        <v>503</v>
      </c>
      <c r="B2" s="26" t="s">
        <v>504</v>
      </c>
      <c r="C2" s="26" t="s">
        <v>505</v>
      </c>
      <c r="D2" s="27" t="s">
        <v>156</v>
      </c>
      <c r="E2" s="26" t="s">
        <v>506</v>
      </c>
      <c r="F2" s="28" t="s">
        <v>158</v>
      </c>
      <c r="G2" s="29" t="s">
        <v>160</v>
      </c>
      <c r="H2" s="39" t="s">
        <v>182</v>
      </c>
      <c r="I2" s="31" t="s">
        <v>17</v>
      </c>
      <c r="J2" s="32" t="s">
        <v>162</v>
      </c>
    </row>
    <row r="3" customFormat="false" ht="23.25" hidden="false" customHeight="true" outlineLevel="0" collapsed="false">
      <c r="A3" s="26" t="s">
        <v>507</v>
      </c>
      <c r="B3" s="26" t="s">
        <v>508</v>
      </c>
      <c r="C3" s="26" t="s">
        <v>509</v>
      </c>
      <c r="D3" s="27" t="s">
        <v>156</v>
      </c>
      <c r="E3" s="26" t="s">
        <v>510</v>
      </c>
      <c r="F3" s="28" t="s">
        <v>158</v>
      </c>
      <c r="G3" s="29" t="s">
        <v>160</v>
      </c>
      <c r="H3" s="30" t="s">
        <v>161</v>
      </c>
      <c r="I3" s="31" t="s">
        <v>23</v>
      </c>
      <c r="J3" s="33" t="s">
        <v>162</v>
      </c>
    </row>
    <row r="4" customFormat="false" ht="23.25" hidden="false" customHeight="true" outlineLevel="0" collapsed="false">
      <c r="A4" s="7" t="s">
        <v>511</v>
      </c>
      <c r="B4" s="7" t="s">
        <v>512</v>
      </c>
      <c r="C4" s="7" t="s">
        <v>190</v>
      </c>
      <c r="D4" s="34" t="s">
        <v>156</v>
      </c>
      <c r="E4" s="7" t="s">
        <v>513</v>
      </c>
      <c r="F4" s="35" t="s">
        <v>514</v>
      </c>
      <c r="G4" s="36" t="s">
        <v>160</v>
      </c>
      <c r="H4" s="37" t="s">
        <v>161</v>
      </c>
      <c r="I4" s="8" t="s">
        <v>23</v>
      </c>
      <c r="J4" s="38" t="s">
        <v>162</v>
      </c>
    </row>
    <row r="5" customFormat="false" ht="34.5" hidden="false" customHeight="true" outlineLevel="0" collapsed="false">
      <c r="A5" s="11" t="s">
        <v>515</v>
      </c>
      <c r="B5" s="11" t="s">
        <v>516</v>
      </c>
      <c r="C5" s="11" t="s">
        <v>517</v>
      </c>
      <c r="D5" s="34" t="s">
        <v>156</v>
      </c>
      <c r="E5" s="11" t="s">
        <v>518</v>
      </c>
      <c r="F5" s="51" t="s">
        <v>158</v>
      </c>
      <c r="G5" s="36" t="s">
        <v>160</v>
      </c>
      <c r="H5" s="52" t="s">
        <v>219</v>
      </c>
      <c r="I5" s="12" t="s">
        <v>23</v>
      </c>
      <c r="J5" s="50" t="s">
        <v>162</v>
      </c>
    </row>
    <row r="6" customFormat="false" ht="23.25" hidden="false" customHeight="true" outlineLevel="0" collapsed="false">
      <c r="A6" s="26" t="s">
        <v>519</v>
      </c>
      <c r="B6" s="26" t="s">
        <v>520</v>
      </c>
      <c r="C6" s="26" t="s">
        <v>521</v>
      </c>
      <c r="D6" s="27" t="s">
        <v>156</v>
      </c>
      <c r="E6" s="26" t="s">
        <v>522</v>
      </c>
      <c r="F6" s="28" t="s">
        <v>158</v>
      </c>
      <c r="G6" s="29" t="s">
        <v>160</v>
      </c>
      <c r="H6" s="53" t="s">
        <v>219</v>
      </c>
      <c r="I6" s="31" t="s">
        <v>23</v>
      </c>
      <c r="J6" s="33" t="s">
        <v>162</v>
      </c>
    </row>
    <row r="7" customFormat="false" ht="23.25" hidden="false" customHeight="true" outlineLevel="0" collapsed="false">
      <c r="A7" s="11" t="s">
        <v>523</v>
      </c>
      <c r="B7" s="11" t="s">
        <v>524</v>
      </c>
      <c r="C7" s="11" t="s">
        <v>525</v>
      </c>
      <c r="D7" s="34" t="s">
        <v>156</v>
      </c>
      <c r="E7" s="11" t="s">
        <v>526</v>
      </c>
      <c r="F7" s="51" t="s">
        <v>158</v>
      </c>
      <c r="G7" s="36" t="s">
        <v>160</v>
      </c>
      <c r="H7" s="52" t="s">
        <v>219</v>
      </c>
      <c r="I7" s="12" t="s">
        <v>23</v>
      </c>
      <c r="J7" s="50" t="s">
        <v>162</v>
      </c>
    </row>
    <row r="8" customFormat="false" ht="23.25" hidden="false" customHeight="true" outlineLevel="0" collapsed="false">
      <c r="A8" s="7" t="s">
        <v>492</v>
      </c>
      <c r="B8" s="7" t="s">
        <v>527</v>
      </c>
      <c r="C8" s="7" t="s">
        <v>190</v>
      </c>
      <c r="D8" s="34" t="s">
        <v>156</v>
      </c>
      <c r="E8" s="7" t="s">
        <v>528</v>
      </c>
      <c r="F8" s="35" t="s">
        <v>514</v>
      </c>
      <c r="G8" s="36" t="s">
        <v>160</v>
      </c>
      <c r="H8" s="49" t="s">
        <v>219</v>
      </c>
      <c r="I8" s="8" t="s">
        <v>23</v>
      </c>
      <c r="J8" s="38" t="s">
        <v>162</v>
      </c>
    </row>
    <row r="9" customFormat="false" ht="23.25" hidden="false" customHeight="true" outlineLevel="0" collapsed="false">
      <c r="A9" s="11" t="s">
        <v>529</v>
      </c>
      <c r="B9" s="11" t="s">
        <v>530</v>
      </c>
      <c r="C9" s="11" t="s">
        <v>190</v>
      </c>
      <c r="D9" s="34" t="s">
        <v>156</v>
      </c>
      <c r="E9" s="11" t="s">
        <v>531</v>
      </c>
      <c r="F9" s="51" t="s">
        <v>532</v>
      </c>
      <c r="G9" s="36" t="s">
        <v>160</v>
      </c>
      <c r="H9" s="52" t="s">
        <v>219</v>
      </c>
      <c r="I9" s="12" t="s">
        <v>23</v>
      </c>
      <c r="J9" s="42" t="s">
        <v>162</v>
      </c>
    </row>
    <row r="10" customFormat="false" ht="23.25" hidden="false" customHeight="true" outlineLevel="0" collapsed="false">
      <c r="A10" s="26" t="s">
        <v>533</v>
      </c>
      <c r="B10" s="26" t="s">
        <v>534</v>
      </c>
      <c r="C10" s="26" t="s">
        <v>535</v>
      </c>
      <c r="D10" s="27" t="s">
        <v>156</v>
      </c>
      <c r="E10" s="26" t="s">
        <v>536</v>
      </c>
      <c r="F10" s="28" t="s">
        <v>514</v>
      </c>
      <c r="G10" s="29" t="s">
        <v>160</v>
      </c>
      <c r="H10" s="53" t="s">
        <v>219</v>
      </c>
      <c r="I10" s="31" t="s">
        <v>23</v>
      </c>
      <c r="J10" s="33" t="s">
        <v>162</v>
      </c>
    </row>
    <row r="11" customFormat="false" ht="23.25" hidden="false" customHeight="true" outlineLevel="0" collapsed="false">
      <c r="A11" s="11" t="s">
        <v>537</v>
      </c>
      <c r="B11" s="11" t="s">
        <v>538</v>
      </c>
      <c r="C11" s="11" t="s">
        <v>190</v>
      </c>
      <c r="D11" s="34" t="s">
        <v>156</v>
      </c>
      <c r="E11" s="11" t="s">
        <v>539</v>
      </c>
      <c r="F11" s="51" t="s">
        <v>514</v>
      </c>
      <c r="G11" s="36" t="s">
        <v>160</v>
      </c>
      <c r="H11" s="57" t="s">
        <v>210</v>
      </c>
      <c r="I11" s="12" t="s">
        <v>45</v>
      </c>
      <c r="J11" s="42" t="s">
        <v>162</v>
      </c>
    </row>
    <row r="12" customFormat="false" ht="23.25" hidden="false" customHeight="true" outlineLevel="0" collapsed="false">
      <c r="A12" s="7" t="s">
        <v>540</v>
      </c>
      <c r="B12" s="7" t="s">
        <v>541</v>
      </c>
      <c r="C12" s="7" t="s">
        <v>190</v>
      </c>
      <c r="D12" s="34" t="s">
        <v>156</v>
      </c>
      <c r="E12" s="7" t="s">
        <v>542</v>
      </c>
      <c r="F12" s="58" t="s">
        <v>543</v>
      </c>
      <c r="G12" s="36" t="s">
        <v>160</v>
      </c>
      <c r="H12" s="55" t="s">
        <v>210</v>
      </c>
      <c r="I12" s="8" t="s">
        <v>45</v>
      </c>
      <c r="J12" s="38" t="s">
        <v>162</v>
      </c>
    </row>
    <row r="13" customFormat="false" ht="23.25" hidden="false" customHeight="true" outlineLevel="0" collapsed="false">
      <c r="A13" s="26" t="s">
        <v>544</v>
      </c>
      <c r="B13" s="26" t="s">
        <v>545</v>
      </c>
      <c r="C13" s="26" t="s">
        <v>546</v>
      </c>
      <c r="D13" s="27" t="s">
        <v>156</v>
      </c>
      <c r="E13" s="26" t="s">
        <v>547</v>
      </c>
      <c r="F13" s="28" t="s">
        <v>514</v>
      </c>
      <c r="G13" s="29" t="s">
        <v>160</v>
      </c>
      <c r="H13" s="30" t="s">
        <v>161</v>
      </c>
      <c r="I13" s="31" t="s">
        <v>23</v>
      </c>
      <c r="J13" s="33" t="s">
        <v>162</v>
      </c>
    </row>
    <row r="14" customFormat="false" ht="23.25" hidden="false" customHeight="true" outlineLevel="0" collapsed="false">
      <c r="A14" s="7" t="s">
        <v>548</v>
      </c>
      <c r="B14" s="7" t="s">
        <v>549</v>
      </c>
      <c r="C14" s="7" t="s">
        <v>190</v>
      </c>
      <c r="D14" s="34" t="s">
        <v>156</v>
      </c>
      <c r="E14" s="7" t="s">
        <v>550</v>
      </c>
      <c r="F14" s="35" t="s">
        <v>514</v>
      </c>
      <c r="G14" s="36" t="s">
        <v>160</v>
      </c>
      <c r="H14" s="37" t="s">
        <v>161</v>
      </c>
      <c r="I14" s="8" t="s">
        <v>23</v>
      </c>
      <c r="J14" s="38" t="s">
        <v>162</v>
      </c>
    </row>
    <row r="15" customFormat="false" ht="23.25" hidden="false" customHeight="true" outlineLevel="0" collapsed="false">
      <c r="A15" s="11" t="s">
        <v>129</v>
      </c>
      <c r="B15" s="11" t="s">
        <v>551</v>
      </c>
      <c r="C15" s="11" t="s">
        <v>190</v>
      </c>
      <c r="D15" s="34" t="s">
        <v>156</v>
      </c>
      <c r="E15" s="11" t="s">
        <v>552</v>
      </c>
      <c r="F15" s="51" t="s">
        <v>514</v>
      </c>
      <c r="G15" s="36" t="s">
        <v>160</v>
      </c>
      <c r="H15" s="57" t="s">
        <v>210</v>
      </c>
      <c r="I15" s="12" t="s">
        <v>45</v>
      </c>
      <c r="J15" s="42" t="s">
        <v>162</v>
      </c>
    </row>
    <row r="16" customFormat="false" ht="23.25" hidden="false" customHeight="true" outlineLevel="0" collapsed="false">
      <c r="A16" s="7" t="s">
        <v>553</v>
      </c>
      <c r="B16" s="7" t="s">
        <v>554</v>
      </c>
      <c r="C16" s="7" t="s">
        <v>555</v>
      </c>
      <c r="D16" s="34" t="s">
        <v>156</v>
      </c>
      <c r="E16" s="7" t="s">
        <v>556</v>
      </c>
      <c r="F16" s="58" t="s">
        <v>180</v>
      </c>
      <c r="G16" s="36" t="s">
        <v>160</v>
      </c>
      <c r="H16" s="59" t="s">
        <v>275</v>
      </c>
      <c r="I16" s="8" t="s">
        <v>45</v>
      </c>
      <c r="J16" s="50" t="s">
        <v>162</v>
      </c>
    </row>
    <row r="17" customFormat="false" ht="23.25" hidden="false" customHeight="true" outlineLevel="0" collapsed="false">
      <c r="A17" s="11" t="s">
        <v>557</v>
      </c>
      <c r="B17" s="11" t="s">
        <v>558</v>
      </c>
      <c r="C17" s="11" t="s">
        <v>559</v>
      </c>
      <c r="D17" s="34" t="s">
        <v>156</v>
      </c>
      <c r="E17" s="11" t="s">
        <v>560</v>
      </c>
      <c r="F17" s="40" t="s">
        <v>180</v>
      </c>
      <c r="G17" s="36" t="s">
        <v>160</v>
      </c>
      <c r="H17" s="60" t="s">
        <v>275</v>
      </c>
      <c r="I17" s="12" t="s">
        <v>45</v>
      </c>
      <c r="J17" s="50" t="s">
        <v>162</v>
      </c>
    </row>
    <row r="18" customFormat="false" ht="23.25" hidden="false" customHeight="true" outlineLevel="0" collapsed="false">
      <c r="A18" s="7" t="s">
        <v>561</v>
      </c>
      <c r="B18" s="7" t="s">
        <v>562</v>
      </c>
      <c r="C18" s="7" t="s">
        <v>190</v>
      </c>
      <c r="D18" s="34" t="s">
        <v>156</v>
      </c>
      <c r="E18" s="7" t="s">
        <v>563</v>
      </c>
      <c r="F18" s="54" t="s">
        <v>543</v>
      </c>
      <c r="G18" s="36" t="s">
        <v>160</v>
      </c>
      <c r="H18" s="55" t="s">
        <v>210</v>
      </c>
      <c r="I18" s="8" t="s">
        <v>45</v>
      </c>
      <c r="J18" s="38" t="s">
        <v>162</v>
      </c>
    </row>
    <row r="19" customFormat="false" ht="23.25" hidden="false" customHeight="true" outlineLevel="0" collapsed="false">
      <c r="A19" s="11" t="s">
        <v>564</v>
      </c>
      <c r="B19" s="11" t="s">
        <v>565</v>
      </c>
      <c r="C19" s="11" t="s">
        <v>190</v>
      </c>
      <c r="D19" s="34" t="s">
        <v>156</v>
      </c>
      <c r="E19" s="11" t="s">
        <v>566</v>
      </c>
      <c r="F19" s="40" t="s">
        <v>514</v>
      </c>
      <c r="G19" s="36" t="s">
        <v>160</v>
      </c>
      <c r="H19" s="60" t="s">
        <v>275</v>
      </c>
      <c r="I19" s="12" t="s">
        <v>45</v>
      </c>
      <c r="J19" s="42" t="s">
        <v>162</v>
      </c>
    </row>
    <row r="20" customFormat="false" ht="23.25" hidden="false" customHeight="true" outlineLevel="0" collapsed="false">
      <c r="A20" s="26" t="s">
        <v>567</v>
      </c>
      <c r="B20" s="26" t="s">
        <v>568</v>
      </c>
      <c r="C20" s="26" t="s">
        <v>569</v>
      </c>
      <c r="D20" s="28" t="s">
        <v>156</v>
      </c>
      <c r="E20" s="26" t="s">
        <v>570</v>
      </c>
      <c r="F20" s="27" t="s">
        <v>180</v>
      </c>
      <c r="G20" s="29" t="s">
        <v>160</v>
      </c>
      <c r="H20" s="61" t="s">
        <v>275</v>
      </c>
      <c r="I20" s="31" t="s">
        <v>45</v>
      </c>
      <c r="J20" s="33" t="s">
        <v>162</v>
      </c>
    </row>
    <row r="21" customFormat="false" ht="23.25" hidden="false" customHeight="true" outlineLevel="0" collapsed="false">
      <c r="A21" s="26" t="s">
        <v>571</v>
      </c>
      <c r="B21" s="26" t="s">
        <v>572</v>
      </c>
      <c r="C21" s="26" t="s">
        <v>573</v>
      </c>
      <c r="D21" s="27" t="s">
        <v>156</v>
      </c>
      <c r="E21" s="26" t="s">
        <v>574</v>
      </c>
      <c r="F21" s="27" t="s">
        <v>514</v>
      </c>
      <c r="G21" s="29" t="s">
        <v>160</v>
      </c>
      <c r="H21" s="39" t="s">
        <v>182</v>
      </c>
      <c r="I21" s="31" t="s">
        <v>17</v>
      </c>
      <c r="J21" s="33" t="s">
        <v>162</v>
      </c>
    </row>
    <row r="22" customFormat="false" ht="23.25" hidden="false" customHeight="true" outlineLevel="0" collapsed="false">
      <c r="A22" s="26" t="s">
        <v>575</v>
      </c>
      <c r="B22" s="26" t="s">
        <v>576</v>
      </c>
      <c r="C22" s="26" t="s">
        <v>577</v>
      </c>
      <c r="D22" s="27" t="s">
        <v>156</v>
      </c>
      <c r="E22" s="26" t="s">
        <v>578</v>
      </c>
      <c r="F22" s="27" t="s">
        <v>514</v>
      </c>
      <c r="G22" s="29" t="s">
        <v>160</v>
      </c>
      <c r="H22" s="39" t="s">
        <v>182</v>
      </c>
      <c r="I22" s="31" t="s">
        <v>17</v>
      </c>
      <c r="J22" s="33" t="s">
        <v>162</v>
      </c>
    </row>
    <row r="23" customFormat="false" ht="15" hidden="false" customHeight="true" outlineLevel="0" collapsed="false">
      <c r="A23" s="11" t="s">
        <v>579</v>
      </c>
      <c r="B23" s="11" t="s">
        <v>580</v>
      </c>
      <c r="C23" s="11" t="s">
        <v>190</v>
      </c>
      <c r="D23" s="34" t="s">
        <v>191</v>
      </c>
      <c r="E23" s="11" t="s">
        <v>581</v>
      </c>
      <c r="F23" s="40" t="s">
        <v>180</v>
      </c>
      <c r="G23" s="36" t="s">
        <v>160</v>
      </c>
      <c r="H23" s="41" t="s">
        <v>182</v>
      </c>
      <c r="I23" s="12" t="s">
        <v>17</v>
      </c>
      <c r="J23" s="42" t="s">
        <v>162</v>
      </c>
    </row>
    <row r="24" customFormat="false" ht="15" hidden="false" customHeight="true" outlineLevel="0" collapsed="false">
      <c r="A24" s="7" t="s">
        <v>582</v>
      </c>
      <c r="B24" s="7" t="s">
        <v>583</v>
      </c>
      <c r="C24" s="7" t="s">
        <v>190</v>
      </c>
      <c r="D24" s="34" t="s">
        <v>156</v>
      </c>
      <c r="E24" s="7" t="s">
        <v>584</v>
      </c>
      <c r="F24" s="54" t="s">
        <v>585</v>
      </c>
      <c r="G24" s="36" t="s">
        <v>160</v>
      </c>
      <c r="H24" s="37" t="s">
        <v>161</v>
      </c>
      <c r="I24" s="8" t="s">
        <v>23</v>
      </c>
      <c r="J24" s="38" t="s">
        <v>162</v>
      </c>
    </row>
    <row r="25" customFormat="false" ht="23.25" hidden="false" customHeight="true" outlineLevel="0" collapsed="false">
      <c r="A25" s="11" t="s">
        <v>586</v>
      </c>
      <c r="B25" s="11" t="s">
        <v>587</v>
      </c>
      <c r="C25" s="11" t="s">
        <v>190</v>
      </c>
      <c r="D25" s="34" t="s">
        <v>191</v>
      </c>
      <c r="E25" s="11" t="s">
        <v>588</v>
      </c>
      <c r="F25" s="56" t="s">
        <v>208</v>
      </c>
      <c r="G25" s="36" t="s">
        <v>174</v>
      </c>
      <c r="H25" s="60" t="s">
        <v>275</v>
      </c>
      <c r="I25" s="12" t="s">
        <v>45</v>
      </c>
      <c r="J25" s="42" t="s">
        <v>300</v>
      </c>
    </row>
    <row r="26" customFormat="false" ht="23.25" hidden="false" customHeight="true" outlineLevel="0" collapsed="false">
      <c r="A26" s="7" t="s">
        <v>589</v>
      </c>
      <c r="B26" s="7" t="s">
        <v>590</v>
      </c>
      <c r="C26" s="7" t="s">
        <v>591</v>
      </c>
      <c r="D26" s="34" t="s">
        <v>156</v>
      </c>
      <c r="E26" s="7" t="s">
        <v>592</v>
      </c>
      <c r="F26" s="35" t="s">
        <v>158</v>
      </c>
      <c r="G26" s="36" t="s">
        <v>160</v>
      </c>
      <c r="H26" s="37" t="s">
        <v>161</v>
      </c>
      <c r="I26" s="8" t="s">
        <v>23</v>
      </c>
      <c r="J26" s="50" t="s">
        <v>162</v>
      </c>
    </row>
    <row r="27" customFormat="false" ht="23.25" hidden="false" customHeight="true" outlineLevel="0" collapsed="false">
      <c r="A27" s="26" t="s">
        <v>593</v>
      </c>
      <c r="B27" s="26" t="s">
        <v>594</v>
      </c>
      <c r="C27" s="26" t="s">
        <v>595</v>
      </c>
      <c r="D27" s="27" t="s">
        <v>156</v>
      </c>
      <c r="E27" s="26" t="s">
        <v>596</v>
      </c>
      <c r="F27" s="27" t="s">
        <v>180</v>
      </c>
      <c r="G27" s="29" t="s">
        <v>160</v>
      </c>
      <c r="H27" s="30" t="s">
        <v>161</v>
      </c>
      <c r="I27" s="31" t="s">
        <v>23</v>
      </c>
      <c r="J27" s="33" t="s">
        <v>162</v>
      </c>
    </row>
    <row r="28" customFormat="false" ht="23.25" hidden="false" customHeight="true" outlineLevel="0" collapsed="false">
      <c r="A28" s="7" t="s">
        <v>597</v>
      </c>
      <c r="B28" s="7" t="s">
        <v>598</v>
      </c>
      <c r="C28" s="7" t="s">
        <v>190</v>
      </c>
      <c r="D28" s="34" t="s">
        <v>156</v>
      </c>
      <c r="E28" s="7" t="s">
        <v>599</v>
      </c>
      <c r="F28" s="58" t="s">
        <v>514</v>
      </c>
      <c r="G28" s="36" t="s">
        <v>160</v>
      </c>
      <c r="H28" s="70" t="s">
        <v>600</v>
      </c>
      <c r="I28" s="8" t="s">
        <v>55</v>
      </c>
      <c r="J28" s="38" t="s">
        <v>162</v>
      </c>
    </row>
    <row r="29" customFormat="false" ht="15" hidden="false" customHeight="true" outlineLevel="0" collapsed="false">
      <c r="A29" s="11" t="s">
        <v>601</v>
      </c>
      <c r="B29" s="11" t="s">
        <v>602</v>
      </c>
      <c r="C29" s="11" t="s">
        <v>190</v>
      </c>
      <c r="D29" s="34" t="s">
        <v>191</v>
      </c>
      <c r="E29" s="11" t="s">
        <v>603</v>
      </c>
      <c r="F29" s="11" t="s">
        <v>317</v>
      </c>
      <c r="G29" s="36" t="s">
        <v>174</v>
      </c>
      <c r="H29" s="57" t="s">
        <v>210</v>
      </c>
      <c r="I29" s="12" t="s">
        <v>45</v>
      </c>
      <c r="J29" s="42" t="s">
        <v>300</v>
      </c>
    </row>
    <row r="30" customFormat="false" ht="15" hidden="false" customHeight="true" outlineLevel="0" collapsed="false">
      <c r="A30" s="7" t="s">
        <v>604</v>
      </c>
      <c r="B30" s="7" t="s">
        <v>605</v>
      </c>
      <c r="C30" s="7" t="s">
        <v>190</v>
      </c>
      <c r="D30" s="34" t="s">
        <v>191</v>
      </c>
      <c r="E30" s="7" t="s">
        <v>606</v>
      </c>
      <c r="F30" s="7" t="s">
        <v>317</v>
      </c>
      <c r="G30" s="36" t="s">
        <v>174</v>
      </c>
      <c r="H30" s="55" t="s">
        <v>210</v>
      </c>
      <c r="I30" s="8" t="s">
        <v>45</v>
      </c>
      <c r="J30" s="38" t="s">
        <v>300</v>
      </c>
    </row>
    <row r="31" customFormat="false" ht="23.25" hidden="false" customHeight="true" outlineLevel="0" collapsed="false">
      <c r="A31" s="11" t="s">
        <v>607</v>
      </c>
      <c r="B31" s="11" t="s">
        <v>608</v>
      </c>
      <c r="C31" s="11" t="s">
        <v>190</v>
      </c>
      <c r="D31" s="34" t="s">
        <v>191</v>
      </c>
      <c r="E31" s="11" t="s">
        <v>609</v>
      </c>
      <c r="F31" s="56" t="s">
        <v>208</v>
      </c>
      <c r="G31" s="36" t="s">
        <v>160</v>
      </c>
      <c r="H31" s="60" t="s">
        <v>275</v>
      </c>
      <c r="I31" s="12" t="s">
        <v>45</v>
      </c>
      <c r="J31" s="42" t="s">
        <v>162</v>
      </c>
    </row>
    <row r="32" customFormat="false" ht="15" hidden="false" customHeight="true" outlineLevel="0" collapsed="false">
      <c r="A32" s="7" t="s">
        <v>610</v>
      </c>
      <c r="B32" s="7" t="s">
        <v>611</v>
      </c>
      <c r="C32" s="7" t="s">
        <v>612</v>
      </c>
      <c r="D32" s="45" t="s">
        <v>156</v>
      </c>
      <c r="E32" s="7" t="s">
        <v>613</v>
      </c>
      <c r="F32" s="7" t="s">
        <v>190</v>
      </c>
      <c r="G32" s="46" t="s">
        <v>160</v>
      </c>
      <c r="H32" s="71" t="s">
        <v>190</v>
      </c>
      <c r="I32" s="8" t="s">
        <v>190</v>
      </c>
      <c r="J32" s="48" t="s">
        <v>162</v>
      </c>
    </row>
    <row r="33" customFormat="false" ht="15" hidden="false" customHeight="true" outlineLevel="0" collapsed="false">
      <c r="A33" s="11" t="s">
        <v>614</v>
      </c>
      <c r="B33" s="11" t="s">
        <v>611</v>
      </c>
      <c r="C33" s="11" t="s">
        <v>615</v>
      </c>
      <c r="D33" s="45" t="s">
        <v>156</v>
      </c>
      <c r="E33" s="11" t="s">
        <v>616</v>
      </c>
      <c r="F33" s="11" t="s">
        <v>190</v>
      </c>
      <c r="G33" s="46" t="s">
        <v>160</v>
      </c>
      <c r="H33" s="47" t="s">
        <v>190</v>
      </c>
      <c r="I33" s="12" t="s">
        <v>190</v>
      </c>
      <c r="J33" s="48" t="s">
        <v>162</v>
      </c>
    </row>
    <row r="34" customFormat="false" ht="15" hidden="false" customHeight="true" outlineLevel="0" collapsed="false">
      <c r="A34" s="7" t="s">
        <v>617</v>
      </c>
      <c r="B34" s="7" t="s">
        <v>611</v>
      </c>
      <c r="C34" s="7" t="s">
        <v>618</v>
      </c>
      <c r="D34" s="45" t="s">
        <v>156</v>
      </c>
      <c r="E34" s="7" t="s">
        <v>619</v>
      </c>
      <c r="F34" s="7" t="s">
        <v>190</v>
      </c>
      <c r="G34" s="46" t="s">
        <v>160</v>
      </c>
      <c r="H34" s="71" t="s">
        <v>190</v>
      </c>
      <c r="I34" s="8" t="s">
        <v>190</v>
      </c>
      <c r="J34" s="48" t="s">
        <v>162</v>
      </c>
    </row>
    <row r="35" customFormat="false" ht="15" hidden="false" customHeight="true" outlineLevel="0" collapsed="false">
      <c r="A35" s="69" t="s">
        <v>620</v>
      </c>
      <c r="B35" s="69" t="s">
        <v>480</v>
      </c>
      <c r="C35" s="69" t="s">
        <v>621</v>
      </c>
      <c r="D35" s="69" t="s">
        <v>156</v>
      </c>
      <c r="E35" s="69" t="s">
        <v>622</v>
      </c>
      <c r="F35" s="69" t="s">
        <v>208</v>
      </c>
      <c r="G35" s="69" t="s">
        <v>160</v>
      </c>
      <c r="H35" s="69" t="s">
        <v>48</v>
      </c>
      <c r="I35" s="69" t="s">
        <v>623</v>
      </c>
      <c r="J35" s="69" t="s">
        <v>162</v>
      </c>
    </row>
    <row r="36" customFormat="false" ht="15" hidden="false" customHeight="true" outlineLevel="0" collapsed="false">
      <c r="A36" s="69" t="s">
        <v>624</v>
      </c>
      <c r="B36" s="69" t="s">
        <v>625</v>
      </c>
      <c r="C36" s="69" t="s">
        <v>626</v>
      </c>
      <c r="D36" s="69" t="s">
        <v>156</v>
      </c>
      <c r="E36" s="69" t="s">
        <v>622</v>
      </c>
      <c r="F36" s="69" t="s">
        <v>180</v>
      </c>
      <c r="G36" s="69" t="s">
        <v>160</v>
      </c>
      <c r="H36" s="69" t="s">
        <v>26</v>
      </c>
      <c r="I36" s="69" t="s">
        <v>495</v>
      </c>
      <c r="J36" s="69" t="s">
        <v>162</v>
      </c>
    </row>
    <row r="37" customFormat="false" ht="15" hidden="false" customHeight="true" outlineLevel="0" collapsed="false">
      <c r="A37" s="69" t="s">
        <v>627</v>
      </c>
      <c r="B37" s="69" t="s">
        <v>625</v>
      </c>
      <c r="C37" s="69" t="s">
        <v>628</v>
      </c>
      <c r="D37" s="69" t="s">
        <v>156</v>
      </c>
      <c r="E37" s="69" t="s">
        <v>622</v>
      </c>
      <c r="F37" s="69" t="s">
        <v>180</v>
      </c>
      <c r="G37" s="69" t="s">
        <v>160</v>
      </c>
      <c r="H37" s="69" t="s">
        <v>26</v>
      </c>
      <c r="I37" s="69" t="s">
        <v>495</v>
      </c>
      <c r="J37" s="69" t="s">
        <v>162</v>
      </c>
    </row>
    <row r="38" customFormat="false" ht="15" hidden="false" customHeight="true" outlineLevel="0" collapsed="false">
      <c r="A38" s="69" t="s">
        <v>413</v>
      </c>
      <c r="B38" s="69" t="s">
        <v>480</v>
      </c>
      <c r="C38" s="69" t="s">
        <v>629</v>
      </c>
      <c r="D38" s="69" t="s">
        <v>156</v>
      </c>
      <c r="E38" s="69" t="s">
        <v>622</v>
      </c>
      <c r="F38" s="69" t="s">
        <v>208</v>
      </c>
      <c r="G38" s="69" t="s">
        <v>160</v>
      </c>
      <c r="H38" s="69" t="s">
        <v>26</v>
      </c>
      <c r="I38" s="69" t="s">
        <v>495</v>
      </c>
      <c r="J38" s="69" t="s">
        <v>162</v>
      </c>
    </row>
    <row r="39" customFormat="false" ht="15" hidden="false" customHeight="true" outlineLevel="0" collapsed="false">
      <c r="A39" s="69" t="s">
        <v>630</v>
      </c>
      <c r="B39" s="69" t="s">
        <v>480</v>
      </c>
      <c r="C39" s="69" t="s">
        <v>631</v>
      </c>
      <c r="D39" s="69" t="s">
        <v>156</v>
      </c>
      <c r="E39" s="69" t="s">
        <v>622</v>
      </c>
      <c r="F39" s="69" t="s">
        <v>208</v>
      </c>
      <c r="G39" s="69" t="s">
        <v>160</v>
      </c>
      <c r="H39" s="69" t="s">
        <v>26</v>
      </c>
      <c r="I39" s="69" t="s">
        <v>495</v>
      </c>
      <c r="J39" s="69" t="s">
        <v>162</v>
      </c>
    </row>
    <row r="40" customFormat="false" ht="15" hidden="false" customHeight="true" outlineLevel="0" collapsed="false">
      <c r="A40" s="69" t="s">
        <v>632</v>
      </c>
      <c r="B40" s="69" t="s">
        <v>480</v>
      </c>
      <c r="C40" s="69" t="s">
        <v>633</v>
      </c>
      <c r="D40" s="69" t="s">
        <v>156</v>
      </c>
      <c r="E40" s="69" t="s">
        <v>622</v>
      </c>
      <c r="F40" s="69" t="s">
        <v>180</v>
      </c>
      <c r="G40" s="69" t="s">
        <v>160</v>
      </c>
      <c r="H40" s="69" t="s">
        <v>20</v>
      </c>
      <c r="I40" s="69" t="s">
        <v>23</v>
      </c>
      <c r="J40" s="69" t="s">
        <v>162</v>
      </c>
    </row>
    <row r="41" customFormat="false" ht="15" hidden="false" customHeight="true" outlineLevel="0" collapsed="false">
      <c r="A41" s="69" t="s">
        <v>634</v>
      </c>
      <c r="B41" s="69" t="s">
        <v>480</v>
      </c>
      <c r="C41" s="69" t="s">
        <v>635</v>
      </c>
      <c r="D41" s="69" t="s">
        <v>156</v>
      </c>
      <c r="E41" s="69" t="s">
        <v>622</v>
      </c>
      <c r="F41" s="69" t="s">
        <v>208</v>
      </c>
      <c r="G41" s="69" t="s">
        <v>160</v>
      </c>
      <c r="H41" s="69" t="s">
        <v>20</v>
      </c>
      <c r="I41" s="69" t="s">
        <v>23</v>
      </c>
      <c r="J41" s="69" t="s">
        <v>162</v>
      </c>
    </row>
    <row r="42" customFormat="false" ht="15" hidden="false" customHeight="true" outlineLevel="0" collapsed="false">
      <c r="A42" s="69" t="s">
        <v>636</v>
      </c>
      <c r="B42" s="69" t="s">
        <v>480</v>
      </c>
      <c r="C42" s="69" t="s">
        <v>637</v>
      </c>
      <c r="D42" s="69" t="s">
        <v>156</v>
      </c>
      <c r="E42" s="69" t="s">
        <v>622</v>
      </c>
      <c r="F42" s="69" t="s">
        <v>208</v>
      </c>
      <c r="G42" s="69" t="s">
        <v>160</v>
      </c>
      <c r="H42" s="69" t="s">
        <v>20</v>
      </c>
      <c r="I42" s="69" t="s">
        <v>23</v>
      </c>
      <c r="J42" s="69" t="s">
        <v>162</v>
      </c>
    </row>
    <row r="43" customFormat="false" ht="15" hidden="false" customHeight="true" outlineLevel="0" collapsed="false">
      <c r="A43" s="69" t="s">
        <v>638</v>
      </c>
      <c r="B43" s="69" t="s">
        <v>480</v>
      </c>
      <c r="C43" s="69" t="s">
        <v>639</v>
      </c>
      <c r="D43" s="69" t="s">
        <v>156</v>
      </c>
      <c r="E43" s="69" t="s">
        <v>622</v>
      </c>
      <c r="F43" s="69" t="s">
        <v>208</v>
      </c>
      <c r="G43" s="69" t="s">
        <v>160</v>
      </c>
      <c r="H43" s="69" t="s">
        <v>48</v>
      </c>
      <c r="I43" s="69" t="s">
        <v>623</v>
      </c>
      <c r="J43" s="69" t="s">
        <v>162</v>
      </c>
    </row>
    <row r="44" customFormat="false" ht="15" hidden="false" customHeight="true" outlineLevel="0" collapsed="false">
      <c r="A44" s="69" t="s">
        <v>640</v>
      </c>
      <c r="B44" s="69" t="s">
        <v>480</v>
      </c>
      <c r="C44" s="69" t="s">
        <v>641</v>
      </c>
      <c r="D44" s="69" t="s">
        <v>156</v>
      </c>
      <c r="E44" s="69" t="s">
        <v>622</v>
      </c>
      <c r="F44" s="69" t="s">
        <v>208</v>
      </c>
      <c r="G44" s="69" t="s">
        <v>160</v>
      </c>
      <c r="H44" s="69" t="s">
        <v>26</v>
      </c>
      <c r="I44" s="69" t="s">
        <v>495</v>
      </c>
      <c r="J44" s="69" t="s">
        <v>162</v>
      </c>
    </row>
    <row r="45" customFormat="false" ht="15" hidden="false" customHeight="true" outlineLevel="0" collapsed="false">
      <c r="A45" s="69" t="s">
        <v>492</v>
      </c>
      <c r="B45" s="69" t="s">
        <v>480</v>
      </c>
      <c r="C45" s="69" t="s">
        <v>642</v>
      </c>
      <c r="D45" s="69" t="s">
        <v>156</v>
      </c>
      <c r="E45" s="69" t="s">
        <v>622</v>
      </c>
      <c r="F45" s="69" t="s">
        <v>514</v>
      </c>
      <c r="G45" s="69" t="s">
        <v>160</v>
      </c>
      <c r="H45" s="69" t="s">
        <v>26</v>
      </c>
      <c r="I45" s="69" t="s">
        <v>495</v>
      </c>
      <c r="J45" s="69" t="s">
        <v>162</v>
      </c>
    </row>
    <row r="46" customFormat="false" ht="15" hidden="false" customHeight="true" outlineLevel="0" collapsed="false">
      <c r="A46" s="69" t="s">
        <v>436</v>
      </c>
      <c r="B46" s="69" t="s">
        <v>480</v>
      </c>
      <c r="C46" s="69" t="s">
        <v>643</v>
      </c>
      <c r="D46" s="69" t="s">
        <v>156</v>
      </c>
      <c r="E46" s="69" t="s">
        <v>622</v>
      </c>
      <c r="F46" s="69" t="s">
        <v>317</v>
      </c>
      <c r="G46" s="69" t="s">
        <v>160</v>
      </c>
      <c r="H46" s="69" t="s">
        <v>48</v>
      </c>
      <c r="I46" s="69" t="s">
        <v>623</v>
      </c>
      <c r="J46" s="69" t="s">
        <v>162</v>
      </c>
    </row>
    <row r="47" customFormat="false" ht="15" hidden="false" customHeight="true" outlineLevel="0" collapsed="false">
      <c r="A47" s="69" t="s">
        <v>644</v>
      </c>
      <c r="B47" s="69" t="s">
        <v>480</v>
      </c>
      <c r="C47" s="69" t="s">
        <v>645</v>
      </c>
      <c r="D47" s="69" t="s">
        <v>156</v>
      </c>
      <c r="E47" s="69" t="s">
        <v>622</v>
      </c>
      <c r="F47" s="69" t="s">
        <v>317</v>
      </c>
      <c r="G47" s="69" t="s">
        <v>160</v>
      </c>
      <c r="H47" s="69" t="s">
        <v>14</v>
      </c>
      <c r="I47" s="69" t="s">
        <v>17</v>
      </c>
      <c r="J47" s="69" t="s">
        <v>162</v>
      </c>
    </row>
    <row r="48" customFormat="false" ht="15" hidden="false" customHeight="true" outlineLevel="0" collapsed="false">
      <c r="A48" s="69" t="s">
        <v>540</v>
      </c>
      <c r="B48" s="69" t="s">
        <v>480</v>
      </c>
      <c r="C48" s="69" t="s">
        <v>646</v>
      </c>
      <c r="D48" s="69" t="s">
        <v>156</v>
      </c>
      <c r="E48" s="69" t="s">
        <v>622</v>
      </c>
      <c r="F48" s="69" t="s">
        <v>208</v>
      </c>
      <c r="G48" s="69" t="s">
        <v>160</v>
      </c>
      <c r="H48" s="69" t="s">
        <v>42</v>
      </c>
      <c r="I48" s="69" t="s">
        <v>45</v>
      </c>
      <c r="J48" s="69" t="s">
        <v>162</v>
      </c>
    </row>
    <row r="49" customFormat="false" ht="15" hidden="false" customHeight="true" outlineLevel="0" collapsed="false">
      <c r="A49" s="69" t="s">
        <v>45</v>
      </c>
      <c r="B49" s="69" t="s">
        <v>480</v>
      </c>
      <c r="C49" s="69" t="s">
        <v>647</v>
      </c>
      <c r="D49" s="69" t="s">
        <v>156</v>
      </c>
      <c r="E49" s="69" t="s">
        <v>622</v>
      </c>
      <c r="F49" s="69" t="s">
        <v>208</v>
      </c>
      <c r="G49" s="69" t="s">
        <v>160</v>
      </c>
      <c r="H49" s="69" t="s">
        <v>52</v>
      </c>
      <c r="I49" s="69" t="s">
        <v>648</v>
      </c>
      <c r="J49" s="69" t="s">
        <v>162</v>
      </c>
    </row>
    <row r="50" customFormat="false" ht="15" hidden="false" customHeight="true" outlineLevel="0" collapsed="false">
      <c r="A50" s="69" t="s">
        <v>649</v>
      </c>
      <c r="B50" s="69" t="s">
        <v>480</v>
      </c>
      <c r="C50" s="69" t="s">
        <v>650</v>
      </c>
      <c r="D50" s="69" t="s">
        <v>156</v>
      </c>
      <c r="E50" s="69" t="s">
        <v>622</v>
      </c>
      <c r="F50" s="69" t="s">
        <v>208</v>
      </c>
      <c r="G50" s="69" t="s">
        <v>160</v>
      </c>
      <c r="H50" s="69" t="s">
        <v>14</v>
      </c>
      <c r="I50" s="69" t="s">
        <v>17</v>
      </c>
      <c r="J50" s="69" t="s">
        <v>162</v>
      </c>
    </row>
    <row r="51" customFormat="false" ht="15" hidden="false" customHeight="true" outlineLevel="0" collapsed="false">
      <c r="A51" s="69" t="s">
        <v>651</v>
      </c>
      <c r="B51" s="69" t="s">
        <v>480</v>
      </c>
      <c r="C51" s="69" t="s">
        <v>652</v>
      </c>
      <c r="D51" s="69" t="s">
        <v>156</v>
      </c>
      <c r="E51" s="69" t="s">
        <v>653</v>
      </c>
      <c r="F51" s="69" t="s">
        <v>180</v>
      </c>
      <c r="G51" s="69" t="s">
        <v>160</v>
      </c>
      <c r="H51" s="69" t="s">
        <v>48</v>
      </c>
      <c r="I51" s="69" t="s">
        <v>623</v>
      </c>
      <c r="J51" s="69" t="s">
        <v>162</v>
      </c>
    </row>
  </sheetData>
  <autoFilter ref="A1:J34"/>
  <dataValidations count="3">
    <dataValidation allowBlank="true" error="Use ☐ or ☑" errorStyle="stop" errorTitle="Invalid" operator="between" showDropDown="false" showErrorMessage="false" showInputMessage="false" sqref="G2:G34" type="list">
      <formula1>"☐,☑"</formula1>
      <formula2>0</formula2>
    </dataValidation>
    <dataValidation allowBlank="true" errorStyle="stop" operator="between" showDropDown="false" showErrorMessage="false" showInputMessage="false" sqref="H2:H34" type="list">
      <formula1>"AR,PK,VS,NK,DM,SP,RG,AM,KS,PAIR,ALL"</formula1>
      <formula2>0</formula2>
    </dataValidation>
    <dataValidation allowBlank="true" errorStyle="stop" operator="between" showDropDown="false" showErrorMessage="false" showInputMessage="false" sqref="J2:J34" type="list">
      <formula1>"NOT STARTED,IN PROGRESS,IN REVIEW,BLOCKED,DONE"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78BFA"/>
    <pageSetUpPr fitToPage="false"/>
  </sheetPr>
  <dimension ref="A1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35"/>
    <col collapsed="false" customWidth="true" hidden="false" outlineLevel="0" max="3" min="3" style="1" width="30"/>
    <col collapsed="false" customWidth="true" hidden="false" outlineLevel="0" max="4" min="4" style="1" width="14"/>
    <col collapsed="false" customWidth="true" hidden="false" outlineLevel="0" max="5" min="5" style="1" width="65"/>
    <col collapsed="false" customWidth="true" hidden="false" outlineLevel="0" max="6" min="6" style="1" width="8"/>
    <col collapsed="false" customWidth="true" hidden="false" outlineLevel="0" max="7" min="7" style="1" width="7"/>
    <col collapsed="false" customWidth="true" hidden="false" outlineLevel="0" max="8" min="8" style="1" width="18"/>
    <col collapsed="false" customWidth="true" hidden="false" outlineLevel="0" max="10" min="9" style="1" width="16"/>
  </cols>
  <sheetData>
    <row r="1" customFormat="false" ht="26.25" hidden="false" customHeight="true" outlineLevel="0" collapsed="false">
      <c r="A1" s="4" t="s">
        <v>654</v>
      </c>
      <c r="B1" s="4" t="s">
        <v>90</v>
      </c>
      <c r="C1" s="4" t="s">
        <v>91</v>
      </c>
      <c r="D1" s="4" t="s">
        <v>146</v>
      </c>
      <c r="E1" s="4" t="s">
        <v>655</v>
      </c>
      <c r="F1" s="4" t="s">
        <v>148</v>
      </c>
      <c r="G1" s="4" t="s">
        <v>150</v>
      </c>
      <c r="H1" s="4" t="s">
        <v>151</v>
      </c>
      <c r="I1" s="4" t="s">
        <v>5</v>
      </c>
      <c r="J1" s="4" t="s">
        <v>152</v>
      </c>
    </row>
    <row r="2" customFormat="false" ht="23.25" hidden="false" customHeight="true" outlineLevel="0" collapsed="false">
      <c r="A2" s="26" t="s">
        <v>656</v>
      </c>
      <c r="B2" s="26" t="s">
        <v>657</v>
      </c>
      <c r="C2" s="26" t="s">
        <v>658</v>
      </c>
      <c r="D2" s="26" t="s">
        <v>156</v>
      </c>
      <c r="E2" s="26" t="s">
        <v>659</v>
      </c>
      <c r="F2" s="28" t="s">
        <v>158</v>
      </c>
      <c r="G2" s="29" t="s">
        <v>160</v>
      </c>
      <c r="H2" s="72" t="s">
        <v>600</v>
      </c>
      <c r="I2" s="31" t="s">
        <v>55</v>
      </c>
      <c r="J2" s="32" t="s">
        <v>162</v>
      </c>
    </row>
    <row r="3" customFormat="false" ht="34.5" hidden="false" customHeight="true" outlineLevel="0" collapsed="false">
      <c r="A3" s="11" t="s">
        <v>660</v>
      </c>
      <c r="B3" s="11" t="s">
        <v>661</v>
      </c>
      <c r="C3" s="11" t="s">
        <v>662</v>
      </c>
      <c r="D3" s="73" t="s">
        <v>156</v>
      </c>
      <c r="E3" s="11" t="s">
        <v>663</v>
      </c>
      <c r="F3" s="51" t="s">
        <v>158</v>
      </c>
      <c r="G3" s="36" t="s">
        <v>160</v>
      </c>
      <c r="H3" s="74" t="s">
        <v>600</v>
      </c>
      <c r="I3" s="12" t="s">
        <v>55</v>
      </c>
      <c r="J3" s="50" t="s">
        <v>162</v>
      </c>
    </row>
    <row r="4" customFormat="false" ht="23.25" hidden="false" customHeight="true" outlineLevel="0" collapsed="false">
      <c r="A4" s="26" t="s">
        <v>664</v>
      </c>
      <c r="B4" s="26" t="s">
        <v>665</v>
      </c>
      <c r="C4" s="26" t="s">
        <v>666</v>
      </c>
      <c r="D4" s="27" t="s">
        <v>156</v>
      </c>
      <c r="E4" s="26" t="s">
        <v>667</v>
      </c>
      <c r="F4" s="27" t="s">
        <v>180</v>
      </c>
      <c r="G4" s="29" t="s">
        <v>160</v>
      </c>
      <c r="H4" s="72" t="s">
        <v>600</v>
      </c>
      <c r="I4" s="31" t="s">
        <v>55</v>
      </c>
      <c r="J4" s="33" t="s">
        <v>162</v>
      </c>
    </row>
    <row r="5" customFormat="false" ht="23.25" hidden="false" customHeight="true" outlineLevel="0" collapsed="false">
      <c r="A5" s="26" t="s">
        <v>668</v>
      </c>
      <c r="B5" s="26" t="s">
        <v>669</v>
      </c>
      <c r="C5" s="26" t="s">
        <v>670</v>
      </c>
      <c r="D5" s="28" t="s">
        <v>156</v>
      </c>
      <c r="E5" s="26" t="s">
        <v>671</v>
      </c>
      <c r="F5" s="28" t="s">
        <v>158</v>
      </c>
      <c r="G5" s="29" t="s">
        <v>160</v>
      </c>
      <c r="H5" s="72" t="s">
        <v>600</v>
      </c>
      <c r="I5" s="31" t="s">
        <v>55</v>
      </c>
      <c r="J5" s="33" t="s">
        <v>162</v>
      </c>
    </row>
    <row r="6" customFormat="false" ht="23.25" hidden="false" customHeight="true" outlineLevel="0" collapsed="false">
      <c r="A6" s="7" t="s">
        <v>672</v>
      </c>
      <c r="B6" s="7" t="s">
        <v>673</v>
      </c>
      <c r="C6" s="7" t="s">
        <v>190</v>
      </c>
      <c r="D6" s="34" t="s">
        <v>156</v>
      </c>
      <c r="E6" s="7" t="s">
        <v>674</v>
      </c>
      <c r="F6" s="58" t="s">
        <v>180</v>
      </c>
      <c r="G6" s="36" t="s">
        <v>160</v>
      </c>
      <c r="H6" s="70" t="s">
        <v>600</v>
      </c>
      <c r="I6" s="8" t="s">
        <v>55</v>
      </c>
      <c r="J6" s="38" t="s">
        <v>162</v>
      </c>
    </row>
    <row r="7" customFormat="false" ht="15" hidden="false" customHeight="true" outlineLevel="0" collapsed="false">
      <c r="A7" s="11" t="s">
        <v>675</v>
      </c>
      <c r="B7" s="11" t="s">
        <v>676</v>
      </c>
      <c r="C7" s="11" t="s">
        <v>677</v>
      </c>
      <c r="D7" s="11" t="s">
        <v>678</v>
      </c>
      <c r="E7" s="11" t="s">
        <v>679</v>
      </c>
      <c r="F7" s="40" t="s">
        <v>180</v>
      </c>
      <c r="G7" s="36" t="s">
        <v>174</v>
      </c>
      <c r="H7" s="74" t="s">
        <v>600</v>
      </c>
      <c r="I7" s="12" t="s">
        <v>55</v>
      </c>
      <c r="J7" s="42" t="s">
        <v>300</v>
      </c>
    </row>
    <row r="8" customFormat="false" ht="23.25" hidden="false" customHeight="true" outlineLevel="0" collapsed="false">
      <c r="A8" s="26" t="s">
        <v>680</v>
      </c>
      <c r="B8" s="26" t="s">
        <v>681</v>
      </c>
      <c r="C8" s="26" t="s">
        <v>682</v>
      </c>
      <c r="D8" s="28" t="s">
        <v>156</v>
      </c>
      <c r="E8" s="26" t="s">
        <v>683</v>
      </c>
      <c r="F8" s="28" t="s">
        <v>158</v>
      </c>
      <c r="G8" s="29" t="s">
        <v>160</v>
      </c>
      <c r="H8" s="72" t="s">
        <v>600</v>
      </c>
      <c r="I8" s="31" t="s">
        <v>55</v>
      </c>
      <c r="J8" s="33" t="s">
        <v>162</v>
      </c>
    </row>
    <row r="9" customFormat="false" ht="15" hidden="false" customHeight="true" outlineLevel="0" collapsed="false">
      <c r="A9" s="26" t="s">
        <v>684</v>
      </c>
      <c r="B9" s="26" t="s">
        <v>685</v>
      </c>
      <c r="C9" s="26" t="s">
        <v>686</v>
      </c>
      <c r="D9" s="28" t="s">
        <v>156</v>
      </c>
      <c r="E9" s="26" t="s">
        <v>687</v>
      </c>
      <c r="F9" s="28" t="s">
        <v>158</v>
      </c>
      <c r="G9" s="29" t="s">
        <v>160</v>
      </c>
      <c r="H9" s="44" t="s">
        <v>210</v>
      </c>
      <c r="I9" s="31" t="s">
        <v>45</v>
      </c>
      <c r="J9" s="33" t="s">
        <v>162</v>
      </c>
    </row>
    <row r="10" customFormat="false" ht="15" hidden="false" customHeight="true" outlineLevel="0" collapsed="false">
      <c r="A10" s="26" t="s">
        <v>688</v>
      </c>
      <c r="B10" s="26" t="s">
        <v>689</v>
      </c>
      <c r="C10" s="26" t="s">
        <v>690</v>
      </c>
      <c r="D10" s="28" t="s">
        <v>156</v>
      </c>
      <c r="E10" s="26" t="s">
        <v>691</v>
      </c>
      <c r="F10" s="27" t="s">
        <v>180</v>
      </c>
      <c r="G10" s="29" t="s">
        <v>160</v>
      </c>
      <c r="H10" s="44" t="s">
        <v>210</v>
      </c>
      <c r="I10" s="31" t="s">
        <v>45</v>
      </c>
      <c r="J10" s="33" t="s">
        <v>162</v>
      </c>
    </row>
    <row r="11" customFormat="false" ht="23.25" hidden="false" customHeight="true" outlineLevel="0" collapsed="false">
      <c r="A11" s="11" t="s">
        <v>692</v>
      </c>
      <c r="B11" s="11" t="s">
        <v>693</v>
      </c>
      <c r="C11" s="11" t="s">
        <v>190</v>
      </c>
      <c r="D11" s="34" t="s">
        <v>191</v>
      </c>
      <c r="E11" s="11" t="s">
        <v>694</v>
      </c>
      <c r="F11" s="40" t="s">
        <v>180</v>
      </c>
      <c r="G11" s="36" t="s">
        <v>160</v>
      </c>
      <c r="H11" s="57" t="s">
        <v>210</v>
      </c>
      <c r="I11" s="12" t="s">
        <v>45</v>
      </c>
      <c r="J11" s="42" t="s">
        <v>162</v>
      </c>
    </row>
    <row r="12" customFormat="false" ht="15" hidden="false" customHeight="true" outlineLevel="0" collapsed="false">
      <c r="A12" s="7" t="s">
        <v>695</v>
      </c>
      <c r="B12" s="7" t="s">
        <v>696</v>
      </c>
      <c r="C12" s="7" t="s">
        <v>697</v>
      </c>
      <c r="D12" s="34" t="s">
        <v>171</v>
      </c>
      <c r="E12" s="7" t="s">
        <v>698</v>
      </c>
      <c r="F12" s="58" t="s">
        <v>180</v>
      </c>
      <c r="G12" s="36" t="s">
        <v>160</v>
      </c>
      <c r="H12" s="55" t="s">
        <v>210</v>
      </c>
      <c r="I12" s="8" t="s">
        <v>45</v>
      </c>
      <c r="J12" s="38" t="s">
        <v>162</v>
      </c>
    </row>
    <row r="13" customFormat="false" ht="23.25" hidden="false" customHeight="true" outlineLevel="0" collapsed="false">
      <c r="A13" s="26" t="s">
        <v>503</v>
      </c>
      <c r="B13" s="26" t="s">
        <v>699</v>
      </c>
      <c r="C13" s="26" t="s">
        <v>700</v>
      </c>
      <c r="D13" s="27" t="s">
        <v>156</v>
      </c>
      <c r="E13" s="26" t="s">
        <v>701</v>
      </c>
      <c r="F13" s="28" t="s">
        <v>158</v>
      </c>
      <c r="G13" s="29" t="s">
        <v>160</v>
      </c>
      <c r="H13" s="39" t="s">
        <v>182</v>
      </c>
      <c r="I13" s="31" t="s">
        <v>17</v>
      </c>
      <c r="J13" s="32" t="s">
        <v>162</v>
      </c>
    </row>
    <row r="14" customFormat="false" ht="15" hidden="false" customHeight="true" outlineLevel="0" collapsed="false">
      <c r="A14" s="7" t="s">
        <v>702</v>
      </c>
      <c r="B14" s="7" t="s">
        <v>703</v>
      </c>
      <c r="C14" s="7" t="s">
        <v>190</v>
      </c>
      <c r="D14" s="34" t="s">
        <v>156</v>
      </c>
      <c r="E14" s="7" t="s">
        <v>704</v>
      </c>
      <c r="F14" s="58" t="s">
        <v>180</v>
      </c>
      <c r="G14" s="36" t="s">
        <v>160</v>
      </c>
      <c r="H14" s="70" t="s">
        <v>600</v>
      </c>
      <c r="I14" s="8" t="s">
        <v>55</v>
      </c>
      <c r="J14" s="38" t="s">
        <v>162</v>
      </c>
    </row>
    <row r="15" customFormat="false" ht="15" hidden="false" customHeight="true" outlineLevel="0" collapsed="false">
      <c r="A15" s="11" t="s">
        <v>705</v>
      </c>
      <c r="B15" s="11" t="s">
        <v>706</v>
      </c>
      <c r="C15" s="11" t="s">
        <v>190</v>
      </c>
      <c r="D15" s="34" t="s">
        <v>156</v>
      </c>
      <c r="E15" s="11" t="s">
        <v>707</v>
      </c>
      <c r="F15" s="56" t="s">
        <v>208</v>
      </c>
      <c r="G15" s="36" t="s">
        <v>160</v>
      </c>
      <c r="H15" s="74" t="s">
        <v>600</v>
      </c>
      <c r="I15" s="12" t="s">
        <v>55</v>
      </c>
      <c r="J15" s="42" t="s">
        <v>162</v>
      </c>
    </row>
    <row r="16" customFormat="false" ht="15" hidden="false" customHeight="true" outlineLevel="0" collapsed="false">
      <c r="A16" s="26" t="s">
        <v>708</v>
      </c>
      <c r="B16" s="26" t="s">
        <v>709</v>
      </c>
      <c r="C16" s="26" t="s">
        <v>710</v>
      </c>
      <c r="D16" s="28" t="s">
        <v>156</v>
      </c>
      <c r="E16" s="26" t="s">
        <v>711</v>
      </c>
      <c r="F16" s="27" t="s">
        <v>180</v>
      </c>
      <c r="G16" s="29" t="s">
        <v>160</v>
      </c>
      <c r="H16" s="72" t="s">
        <v>600</v>
      </c>
      <c r="I16" s="31" t="s">
        <v>55</v>
      </c>
      <c r="J16" s="33" t="s">
        <v>162</v>
      </c>
    </row>
    <row r="17" customFormat="false" ht="15" hidden="false" customHeight="true" outlineLevel="0" collapsed="false">
      <c r="A17" s="11" t="s">
        <v>712</v>
      </c>
      <c r="B17" s="11" t="s">
        <v>190</v>
      </c>
      <c r="C17" s="11" t="s">
        <v>713</v>
      </c>
      <c r="D17" s="34" t="s">
        <v>156</v>
      </c>
      <c r="E17" s="11" t="s">
        <v>714</v>
      </c>
      <c r="F17" s="51" t="s">
        <v>158</v>
      </c>
      <c r="G17" s="36" t="s">
        <v>160</v>
      </c>
      <c r="H17" s="62" t="s">
        <v>161</v>
      </c>
      <c r="I17" s="12" t="s">
        <v>23</v>
      </c>
      <c r="J17" s="50" t="s">
        <v>162</v>
      </c>
    </row>
    <row r="18" customFormat="false" ht="23.25" hidden="false" customHeight="true" outlineLevel="0" collapsed="false">
      <c r="A18" s="7" t="s">
        <v>715</v>
      </c>
      <c r="B18" s="7" t="s">
        <v>716</v>
      </c>
      <c r="C18" s="7" t="s">
        <v>717</v>
      </c>
      <c r="D18" s="34" t="s">
        <v>156</v>
      </c>
      <c r="E18" s="7" t="s">
        <v>718</v>
      </c>
      <c r="F18" s="35" t="s">
        <v>158</v>
      </c>
      <c r="G18" s="36" t="s">
        <v>160</v>
      </c>
      <c r="H18" s="70" t="s">
        <v>600</v>
      </c>
      <c r="I18" s="8" t="s">
        <v>55</v>
      </c>
      <c r="J18" s="50" t="s">
        <v>162</v>
      </c>
    </row>
    <row r="19" customFormat="false" ht="23.25" hidden="false" customHeight="true" outlineLevel="0" collapsed="false">
      <c r="A19" s="11" t="s">
        <v>719</v>
      </c>
      <c r="B19" s="11" t="s">
        <v>720</v>
      </c>
      <c r="C19" s="11" t="s">
        <v>190</v>
      </c>
      <c r="D19" s="34" t="s">
        <v>156</v>
      </c>
      <c r="E19" s="11" t="s">
        <v>721</v>
      </c>
      <c r="F19" s="40" t="s">
        <v>180</v>
      </c>
      <c r="G19" s="36" t="s">
        <v>160</v>
      </c>
      <c r="H19" s="74" t="s">
        <v>600</v>
      </c>
      <c r="I19" s="12" t="s">
        <v>55</v>
      </c>
      <c r="J19" s="42" t="s">
        <v>162</v>
      </c>
    </row>
    <row r="20" customFormat="false" ht="15" hidden="false" customHeight="true" outlineLevel="0" collapsed="false">
      <c r="A20" s="7" t="s">
        <v>722</v>
      </c>
      <c r="B20" s="7" t="s">
        <v>723</v>
      </c>
      <c r="C20" s="7" t="s">
        <v>190</v>
      </c>
      <c r="D20" s="34" t="s">
        <v>191</v>
      </c>
      <c r="E20" s="7" t="s">
        <v>724</v>
      </c>
      <c r="F20" s="54" t="s">
        <v>208</v>
      </c>
      <c r="G20" s="36" t="s">
        <v>160</v>
      </c>
      <c r="H20" s="70" t="s">
        <v>600</v>
      </c>
      <c r="I20" s="8" t="s">
        <v>55</v>
      </c>
      <c r="J20" s="38" t="s">
        <v>162</v>
      </c>
    </row>
    <row r="21" customFormat="false" ht="23.25" hidden="false" customHeight="true" outlineLevel="0" collapsed="false">
      <c r="A21" s="11" t="s">
        <v>725</v>
      </c>
      <c r="B21" s="11" t="s">
        <v>726</v>
      </c>
      <c r="C21" s="11" t="s">
        <v>727</v>
      </c>
      <c r="D21" s="73" t="s">
        <v>171</v>
      </c>
      <c r="E21" s="11" t="s">
        <v>728</v>
      </c>
      <c r="F21" s="40" t="s">
        <v>180</v>
      </c>
      <c r="G21" s="36" t="s">
        <v>160</v>
      </c>
      <c r="H21" s="41" t="s">
        <v>182</v>
      </c>
      <c r="I21" s="12" t="s">
        <v>17</v>
      </c>
      <c r="J21" s="42" t="s">
        <v>162</v>
      </c>
    </row>
    <row r="22" customFormat="false" ht="15" hidden="false" customHeight="true" outlineLevel="0" collapsed="false">
      <c r="A22" s="69" t="s">
        <v>729</v>
      </c>
      <c r="B22" s="69" t="s">
        <v>480</v>
      </c>
      <c r="C22" s="69" t="s">
        <v>730</v>
      </c>
      <c r="D22" s="69" t="s">
        <v>156</v>
      </c>
      <c r="E22" s="69" t="s">
        <v>731</v>
      </c>
      <c r="F22" s="69" t="s">
        <v>208</v>
      </c>
      <c r="G22" s="69" t="s">
        <v>160</v>
      </c>
      <c r="H22" s="69" t="s">
        <v>37</v>
      </c>
      <c r="I22" s="69" t="s">
        <v>732</v>
      </c>
      <c r="J22" s="69" t="s">
        <v>162</v>
      </c>
    </row>
    <row r="23" customFormat="false" ht="15" hidden="false" customHeight="true" outlineLevel="0" collapsed="false">
      <c r="A23" s="69" t="s">
        <v>733</v>
      </c>
      <c r="B23" s="69" t="s">
        <v>480</v>
      </c>
      <c r="C23" s="69" t="s">
        <v>734</v>
      </c>
      <c r="D23" s="69" t="s">
        <v>156</v>
      </c>
      <c r="E23" s="69" t="s">
        <v>735</v>
      </c>
      <c r="F23" s="69" t="s">
        <v>180</v>
      </c>
      <c r="G23" s="69" t="s">
        <v>160</v>
      </c>
      <c r="H23" s="69" t="s">
        <v>48</v>
      </c>
      <c r="I23" s="69" t="s">
        <v>623</v>
      </c>
      <c r="J23" s="69" t="s">
        <v>162</v>
      </c>
    </row>
    <row r="24" customFormat="false" ht="15" hidden="false" customHeight="true" outlineLevel="0" collapsed="false">
      <c r="A24" s="69" t="s">
        <v>736</v>
      </c>
      <c r="B24" s="69" t="s">
        <v>480</v>
      </c>
      <c r="C24" s="69" t="s">
        <v>737</v>
      </c>
      <c r="D24" s="69" t="s">
        <v>156</v>
      </c>
      <c r="E24" s="69" t="s">
        <v>738</v>
      </c>
      <c r="F24" s="69" t="s">
        <v>208</v>
      </c>
      <c r="G24" s="69" t="s">
        <v>160</v>
      </c>
      <c r="H24" s="69" t="s">
        <v>58</v>
      </c>
      <c r="I24" s="69" t="s">
        <v>739</v>
      </c>
      <c r="J24" s="69" t="s">
        <v>162</v>
      </c>
    </row>
  </sheetData>
  <autoFilter ref="A1:J21"/>
  <dataValidations count="3">
    <dataValidation allowBlank="true" error="Use ☐ or ☑" errorStyle="stop" errorTitle="Invalid" operator="between" showDropDown="false" showErrorMessage="false" showInputMessage="false" sqref="G2:G21" type="list">
      <formula1>"☐,☑"</formula1>
      <formula2>0</formula2>
    </dataValidation>
    <dataValidation allowBlank="true" errorStyle="stop" operator="between" showDropDown="false" showErrorMessage="false" showInputMessage="false" sqref="H2:H21" type="list">
      <formula1>"AR,PK,VS,NK,DM,SP,RG,AM,KS,PAIR,ALL"</formula1>
      <formula2>0</formula2>
    </dataValidation>
    <dataValidation allowBlank="true" errorStyle="stop" operator="between" showDropDown="false" showErrorMessage="false" showInputMessage="false" sqref="J2:J21" type="list">
      <formula1>"NOT STARTED,IN PROGRESS,IN REVIEW,BLOCKED,DONE"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DE80"/>
    <pageSetUpPr fitToPage="false"/>
  </sheetPr>
  <dimension ref="A1:K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0"/>
    <col collapsed="false" customWidth="true" hidden="false" outlineLevel="0" max="3" min="3" style="1" width="55"/>
    <col collapsed="false" customWidth="true" hidden="false" outlineLevel="0" max="4" min="4" style="1" width="20"/>
    <col collapsed="false" customWidth="true" hidden="false" outlineLevel="0" max="5" min="5" style="1" width="12"/>
    <col collapsed="false" customWidth="true" hidden="false" outlineLevel="0" max="6" min="6" style="1" width="28"/>
    <col collapsed="false" customWidth="true" hidden="false" outlineLevel="0" max="7" min="7" style="1" width="50"/>
    <col collapsed="false" customWidth="true" hidden="false" outlineLevel="0" max="8" min="8" style="1" width="7"/>
    <col collapsed="false" customWidth="true" hidden="false" outlineLevel="0" max="9" min="9" style="1" width="18"/>
    <col collapsed="false" customWidth="true" hidden="false" outlineLevel="0" max="11" min="10" style="1" width="16"/>
  </cols>
  <sheetData>
    <row r="1" customFormat="false" ht="15" hidden="false" customHeight="true" outlineLevel="0" collapsed="false">
      <c r="A1" s="4" t="s">
        <v>740</v>
      </c>
      <c r="B1" s="4" t="s">
        <v>741</v>
      </c>
      <c r="C1" s="4" t="s">
        <v>742</v>
      </c>
      <c r="D1" s="4" t="s">
        <v>743</v>
      </c>
      <c r="E1" s="4" t="s">
        <v>744</v>
      </c>
      <c r="F1" s="4" t="s">
        <v>745</v>
      </c>
      <c r="G1" s="4" t="s">
        <v>746</v>
      </c>
      <c r="H1" s="4" t="s">
        <v>150</v>
      </c>
      <c r="I1" s="4" t="s">
        <v>151</v>
      </c>
      <c r="J1" s="4" t="s">
        <v>5</v>
      </c>
      <c r="K1" s="4" t="s">
        <v>152</v>
      </c>
    </row>
    <row r="2" customFormat="false" ht="15" hidden="false" customHeight="true" outlineLevel="0" collapsed="false">
      <c r="A2" s="28" t="s">
        <v>747</v>
      </c>
      <c r="B2" s="26" t="s">
        <v>748</v>
      </c>
      <c r="C2" s="26" t="s">
        <v>749</v>
      </c>
      <c r="D2" s="26" t="s">
        <v>750</v>
      </c>
      <c r="E2" s="26" t="s">
        <v>751</v>
      </c>
      <c r="F2" s="26" t="s">
        <v>190</v>
      </c>
      <c r="G2" s="26" t="s">
        <v>752</v>
      </c>
      <c r="H2" s="29" t="s">
        <v>160</v>
      </c>
      <c r="I2" s="39" t="s">
        <v>182</v>
      </c>
      <c r="J2" s="31" t="s">
        <v>17</v>
      </c>
      <c r="K2" s="33" t="s">
        <v>162</v>
      </c>
    </row>
    <row r="3" customFormat="false" ht="15" hidden="false" customHeight="true" outlineLevel="0" collapsed="false">
      <c r="A3" s="28" t="s">
        <v>747</v>
      </c>
      <c r="B3" s="26" t="s">
        <v>748</v>
      </c>
      <c r="C3" s="26" t="s">
        <v>753</v>
      </c>
      <c r="D3" s="26" t="s">
        <v>754</v>
      </c>
      <c r="E3" s="26" t="s">
        <v>755</v>
      </c>
      <c r="F3" s="26" t="s">
        <v>190</v>
      </c>
      <c r="G3" s="26" t="s">
        <v>756</v>
      </c>
      <c r="H3" s="29" t="s">
        <v>160</v>
      </c>
      <c r="I3" s="72" t="s">
        <v>600</v>
      </c>
      <c r="J3" s="31" t="s">
        <v>55</v>
      </c>
      <c r="K3" s="33" t="s">
        <v>162</v>
      </c>
    </row>
    <row r="4" customFormat="false" ht="15" hidden="false" customHeight="true" outlineLevel="0" collapsed="false">
      <c r="A4" s="28" t="s">
        <v>747</v>
      </c>
      <c r="B4" s="26" t="s">
        <v>748</v>
      </c>
      <c r="C4" s="26" t="s">
        <v>757</v>
      </c>
      <c r="D4" s="26" t="s">
        <v>623</v>
      </c>
      <c r="E4" s="26" t="s">
        <v>755</v>
      </c>
      <c r="F4" s="26" t="s">
        <v>190</v>
      </c>
      <c r="G4" s="26" t="s">
        <v>758</v>
      </c>
      <c r="H4" s="29" t="s">
        <v>160</v>
      </c>
      <c r="I4" s="30" t="s">
        <v>161</v>
      </c>
      <c r="J4" s="31" t="s">
        <v>23</v>
      </c>
      <c r="K4" s="33" t="s">
        <v>162</v>
      </c>
    </row>
    <row r="5" customFormat="false" ht="15" hidden="false" customHeight="true" outlineLevel="0" collapsed="false">
      <c r="A5" s="28" t="s">
        <v>747</v>
      </c>
      <c r="B5" s="26" t="s">
        <v>759</v>
      </c>
      <c r="C5" s="26" t="s">
        <v>760</v>
      </c>
      <c r="D5" s="26" t="s">
        <v>750</v>
      </c>
      <c r="E5" s="26" t="s">
        <v>751</v>
      </c>
      <c r="F5" s="26" t="s">
        <v>761</v>
      </c>
      <c r="G5" s="26" t="s">
        <v>762</v>
      </c>
      <c r="H5" s="29" t="s">
        <v>160</v>
      </c>
      <c r="I5" s="53" t="s">
        <v>219</v>
      </c>
      <c r="J5" s="31" t="s">
        <v>23</v>
      </c>
      <c r="K5" s="33" t="s">
        <v>162</v>
      </c>
    </row>
    <row r="6" customFormat="false" ht="15" hidden="false" customHeight="true" outlineLevel="0" collapsed="false">
      <c r="A6" s="28" t="s">
        <v>747</v>
      </c>
      <c r="B6" s="26" t="s">
        <v>759</v>
      </c>
      <c r="C6" s="26" t="s">
        <v>763</v>
      </c>
      <c r="D6" s="26" t="s">
        <v>623</v>
      </c>
      <c r="E6" s="26" t="s">
        <v>751</v>
      </c>
      <c r="F6" s="26" t="s">
        <v>190</v>
      </c>
      <c r="G6" s="26" t="s">
        <v>764</v>
      </c>
      <c r="H6" s="29" t="s">
        <v>160</v>
      </c>
      <c r="I6" s="53" t="s">
        <v>219</v>
      </c>
      <c r="J6" s="31" t="s">
        <v>23</v>
      </c>
      <c r="K6" s="33" t="s">
        <v>162</v>
      </c>
    </row>
    <row r="7" customFormat="false" ht="15" hidden="false" customHeight="true" outlineLevel="0" collapsed="false">
      <c r="A7" s="28" t="s">
        <v>747</v>
      </c>
      <c r="B7" s="26" t="s">
        <v>765</v>
      </c>
      <c r="C7" s="26" t="s">
        <v>766</v>
      </c>
      <c r="D7" s="26" t="s">
        <v>750</v>
      </c>
      <c r="E7" s="26" t="s">
        <v>751</v>
      </c>
      <c r="F7" s="26" t="s">
        <v>767</v>
      </c>
      <c r="G7" s="26" t="s">
        <v>768</v>
      </c>
      <c r="H7" s="29" t="s">
        <v>160</v>
      </c>
      <c r="I7" s="53" t="s">
        <v>219</v>
      </c>
      <c r="J7" s="31" t="s">
        <v>23</v>
      </c>
      <c r="K7" s="33" t="s">
        <v>162</v>
      </c>
    </row>
    <row r="8" customFormat="false" ht="15" hidden="false" customHeight="true" outlineLevel="0" collapsed="false">
      <c r="A8" s="27" t="s">
        <v>769</v>
      </c>
      <c r="B8" s="26" t="s">
        <v>770</v>
      </c>
      <c r="C8" s="26" t="s">
        <v>771</v>
      </c>
      <c r="D8" s="26" t="s">
        <v>750</v>
      </c>
      <c r="E8" s="26" t="s">
        <v>751</v>
      </c>
      <c r="F8" s="26" t="s">
        <v>772</v>
      </c>
      <c r="G8" s="26" t="s">
        <v>773</v>
      </c>
      <c r="H8" s="29" t="s">
        <v>160</v>
      </c>
      <c r="I8" s="30" t="s">
        <v>161</v>
      </c>
      <c r="J8" s="31" t="s">
        <v>23</v>
      </c>
      <c r="K8" s="33" t="s">
        <v>162</v>
      </c>
    </row>
    <row r="9" customFormat="false" ht="15" hidden="false" customHeight="true" outlineLevel="0" collapsed="false">
      <c r="A9" s="27" t="s">
        <v>769</v>
      </c>
      <c r="B9" s="26" t="s">
        <v>770</v>
      </c>
      <c r="C9" s="26" t="s">
        <v>774</v>
      </c>
      <c r="D9" s="26" t="s">
        <v>750</v>
      </c>
      <c r="E9" s="26" t="s">
        <v>775</v>
      </c>
      <c r="F9" s="26" t="s">
        <v>776</v>
      </c>
      <c r="G9" s="26" t="s">
        <v>777</v>
      </c>
      <c r="H9" s="29" t="s">
        <v>160</v>
      </c>
      <c r="I9" s="30" t="s">
        <v>161</v>
      </c>
      <c r="J9" s="31" t="s">
        <v>23</v>
      </c>
      <c r="K9" s="33" t="s">
        <v>162</v>
      </c>
    </row>
    <row r="10" customFormat="false" ht="15" hidden="false" customHeight="true" outlineLevel="0" collapsed="false">
      <c r="A10" s="27" t="s">
        <v>769</v>
      </c>
      <c r="B10" s="26" t="s">
        <v>778</v>
      </c>
      <c r="C10" s="26" t="s">
        <v>779</v>
      </c>
      <c r="D10" s="26" t="s">
        <v>623</v>
      </c>
      <c r="E10" s="26" t="s">
        <v>751</v>
      </c>
      <c r="F10" s="26" t="s">
        <v>780</v>
      </c>
      <c r="G10" s="26" t="s">
        <v>781</v>
      </c>
      <c r="H10" s="29" t="s">
        <v>160</v>
      </c>
      <c r="I10" s="53" t="s">
        <v>219</v>
      </c>
      <c r="J10" s="31" t="s">
        <v>23</v>
      </c>
      <c r="K10" s="33" t="s">
        <v>162</v>
      </c>
    </row>
    <row r="11" customFormat="false" ht="15" hidden="false" customHeight="true" outlineLevel="0" collapsed="false">
      <c r="A11" s="27" t="s">
        <v>769</v>
      </c>
      <c r="B11" s="26" t="s">
        <v>782</v>
      </c>
      <c r="C11" s="26" t="s">
        <v>783</v>
      </c>
      <c r="D11" s="26" t="s">
        <v>34</v>
      </c>
      <c r="E11" s="26" t="s">
        <v>751</v>
      </c>
      <c r="F11" s="26" t="s">
        <v>784</v>
      </c>
      <c r="G11" s="26" t="s">
        <v>785</v>
      </c>
      <c r="H11" s="29" t="s">
        <v>160</v>
      </c>
      <c r="I11" s="65" t="s">
        <v>363</v>
      </c>
      <c r="J11" s="31" t="s">
        <v>34</v>
      </c>
      <c r="K11" s="33" t="s">
        <v>162</v>
      </c>
    </row>
    <row r="12" customFormat="false" ht="15" hidden="false" customHeight="true" outlineLevel="0" collapsed="false">
      <c r="A12" s="27" t="s">
        <v>769</v>
      </c>
      <c r="B12" s="26" t="s">
        <v>782</v>
      </c>
      <c r="C12" s="26" t="s">
        <v>786</v>
      </c>
      <c r="D12" s="26" t="s">
        <v>623</v>
      </c>
      <c r="E12" s="26" t="s">
        <v>751</v>
      </c>
      <c r="F12" s="26" t="s">
        <v>787</v>
      </c>
      <c r="G12" s="26" t="s">
        <v>788</v>
      </c>
      <c r="H12" s="29" t="s">
        <v>160</v>
      </c>
      <c r="I12" s="30" t="s">
        <v>161</v>
      </c>
      <c r="J12" s="31" t="s">
        <v>23</v>
      </c>
      <c r="K12" s="33" t="s">
        <v>162</v>
      </c>
    </row>
    <row r="13" customFormat="false" ht="15" hidden="false" customHeight="true" outlineLevel="0" collapsed="false">
      <c r="A13" s="27" t="s">
        <v>769</v>
      </c>
      <c r="B13" s="26" t="s">
        <v>789</v>
      </c>
      <c r="C13" s="26" t="s">
        <v>790</v>
      </c>
      <c r="D13" s="26" t="s">
        <v>623</v>
      </c>
      <c r="E13" s="26" t="s">
        <v>775</v>
      </c>
      <c r="F13" s="26" t="s">
        <v>791</v>
      </c>
      <c r="G13" s="26" t="s">
        <v>792</v>
      </c>
      <c r="H13" s="29" t="s">
        <v>160</v>
      </c>
      <c r="I13" s="30" t="s">
        <v>161</v>
      </c>
      <c r="J13" s="31" t="s">
        <v>23</v>
      </c>
      <c r="K13" s="33" t="s">
        <v>162</v>
      </c>
    </row>
    <row r="14" customFormat="false" ht="15" hidden="false" customHeight="true" outlineLevel="0" collapsed="false">
      <c r="A14" s="43" t="s">
        <v>793</v>
      </c>
      <c r="B14" s="26" t="s">
        <v>794</v>
      </c>
      <c r="C14" s="26" t="s">
        <v>795</v>
      </c>
      <c r="D14" s="26" t="s">
        <v>623</v>
      </c>
      <c r="E14" s="26" t="s">
        <v>755</v>
      </c>
      <c r="F14" s="26" t="s">
        <v>190</v>
      </c>
      <c r="G14" s="26" t="s">
        <v>796</v>
      </c>
      <c r="H14" s="29" t="s">
        <v>160</v>
      </c>
      <c r="I14" s="44" t="s">
        <v>210</v>
      </c>
      <c r="J14" s="31" t="s">
        <v>45</v>
      </c>
      <c r="K14" s="33" t="s">
        <v>162</v>
      </c>
    </row>
    <row r="15" customFormat="false" ht="15" hidden="false" customHeight="true" outlineLevel="0" collapsed="false">
      <c r="A15" s="43" t="s">
        <v>793</v>
      </c>
      <c r="B15" s="26" t="s">
        <v>794</v>
      </c>
      <c r="C15" s="26" t="s">
        <v>797</v>
      </c>
      <c r="D15" s="26" t="s">
        <v>623</v>
      </c>
      <c r="E15" s="26" t="s">
        <v>755</v>
      </c>
      <c r="F15" s="26" t="s">
        <v>190</v>
      </c>
      <c r="G15" s="26" t="s">
        <v>798</v>
      </c>
      <c r="H15" s="29" t="s">
        <v>160</v>
      </c>
      <c r="I15" s="44" t="s">
        <v>210</v>
      </c>
      <c r="J15" s="31" t="s">
        <v>45</v>
      </c>
      <c r="K15" s="33" t="s">
        <v>162</v>
      </c>
    </row>
    <row r="16" customFormat="false" ht="15" hidden="false" customHeight="true" outlineLevel="0" collapsed="false">
      <c r="A16" s="54" t="s">
        <v>793</v>
      </c>
      <c r="B16" s="7" t="s">
        <v>799</v>
      </c>
      <c r="C16" s="7" t="s">
        <v>800</v>
      </c>
      <c r="D16" s="7" t="s">
        <v>623</v>
      </c>
      <c r="E16" s="7" t="s">
        <v>751</v>
      </c>
      <c r="F16" s="7" t="s">
        <v>190</v>
      </c>
      <c r="G16" s="7" t="s">
        <v>801</v>
      </c>
      <c r="H16" s="36" t="s">
        <v>160</v>
      </c>
      <c r="I16" s="55" t="s">
        <v>210</v>
      </c>
      <c r="J16" s="8" t="s">
        <v>45</v>
      </c>
      <c r="K16" s="38" t="s">
        <v>162</v>
      </c>
    </row>
    <row r="17" customFormat="false" ht="15" hidden="false" customHeight="true" outlineLevel="0" collapsed="false">
      <c r="A17" s="43" t="s">
        <v>793</v>
      </c>
      <c r="B17" s="26" t="s">
        <v>799</v>
      </c>
      <c r="C17" s="26" t="s">
        <v>802</v>
      </c>
      <c r="D17" s="26" t="s">
        <v>623</v>
      </c>
      <c r="E17" s="26" t="s">
        <v>755</v>
      </c>
      <c r="F17" s="26" t="s">
        <v>190</v>
      </c>
      <c r="G17" s="26" t="s">
        <v>803</v>
      </c>
      <c r="H17" s="29" t="s">
        <v>160</v>
      </c>
      <c r="I17" s="44" t="s">
        <v>210</v>
      </c>
      <c r="J17" s="31" t="s">
        <v>45</v>
      </c>
      <c r="K17" s="33" t="s">
        <v>162</v>
      </c>
    </row>
    <row r="18" customFormat="false" ht="15" hidden="false" customHeight="true" outlineLevel="0" collapsed="false">
      <c r="A18" s="43" t="s">
        <v>793</v>
      </c>
      <c r="B18" s="26" t="s">
        <v>804</v>
      </c>
      <c r="C18" s="26" t="s">
        <v>805</v>
      </c>
      <c r="D18" s="26" t="s">
        <v>34</v>
      </c>
      <c r="E18" s="26" t="s">
        <v>751</v>
      </c>
      <c r="F18" s="26" t="s">
        <v>806</v>
      </c>
      <c r="G18" s="26" t="s">
        <v>807</v>
      </c>
      <c r="H18" s="29" t="s">
        <v>160</v>
      </c>
      <c r="I18" s="44" t="s">
        <v>210</v>
      </c>
      <c r="J18" s="31" t="s">
        <v>45</v>
      </c>
      <c r="K18" s="33" t="s">
        <v>162</v>
      </c>
    </row>
    <row r="19" customFormat="false" ht="15" hidden="false" customHeight="true" outlineLevel="0" collapsed="false">
      <c r="A19" s="43" t="s">
        <v>793</v>
      </c>
      <c r="B19" s="26" t="s">
        <v>804</v>
      </c>
      <c r="C19" s="26" t="s">
        <v>808</v>
      </c>
      <c r="D19" s="26" t="s">
        <v>750</v>
      </c>
      <c r="E19" s="26" t="s">
        <v>751</v>
      </c>
      <c r="F19" s="26" t="s">
        <v>809</v>
      </c>
      <c r="G19" s="26" t="s">
        <v>810</v>
      </c>
      <c r="H19" s="29" t="s">
        <v>160</v>
      </c>
      <c r="I19" s="61" t="s">
        <v>811</v>
      </c>
      <c r="J19" s="31" t="s">
        <v>812</v>
      </c>
      <c r="K19" s="33" t="s">
        <v>162</v>
      </c>
    </row>
    <row r="20" customFormat="false" ht="15" hidden="false" customHeight="true" outlineLevel="0" collapsed="false">
      <c r="A20" s="75" t="s">
        <v>813</v>
      </c>
      <c r="B20" s="26" t="s">
        <v>814</v>
      </c>
      <c r="C20" s="26" t="s">
        <v>815</v>
      </c>
      <c r="D20" s="26" t="s">
        <v>623</v>
      </c>
      <c r="E20" s="26" t="s">
        <v>751</v>
      </c>
      <c r="F20" s="26" t="s">
        <v>816</v>
      </c>
      <c r="G20" s="26" t="s">
        <v>817</v>
      </c>
      <c r="H20" s="29" t="s">
        <v>160</v>
      </c>
      <c r="I20" s="30" t="s">
        <v>161</v>
      </c>
      <c r="J20" s="31" t="s">
        <v>23</v>
      </c>
      <c r="K20" s="33" t="s">
        <v>162</v>
      </c>
    </row>
    <row r="21" customFormat="false" ht="15" hidden="false" customHeight="true" outlineLevel="0" collapsed="false">
      <c r="A21" s="76" t="s">
        <v>813</v>
      </c>
      <c r="B21" s="77" t="s">
        <v>814</v>
      </c>
      <c r="C21" s="77" t="s">
        <v>818</v>
      </c>
      <c r="D21" s="77" t="s">
        <v>623</v>
      </c>
      <c r="E21" s="77" t="s">
        <v>751</v>
      </c>
      <c r="F21" s="77" t="s">
        <v>819</v>
      </c>
      <c r="G21" s="77" t="s">
        <v>820</v>
      </c>
      <c r="H21" s="78" t="s">
        <v>160</v>
      </c>
      <c r="I21" s="79" t="s">
        <v>275</v>
      </c>
      <c r="J21" s="80" t="s">
        <v>45</v>
      </c>
      <c r="K21" s="50" t="s">
        <v>162</v>
      </c>
    </row>
    <row r="22" customFormat="false" ht="15" hidden="false" customHeight="true" outlineLevel="0" collapsed="false">
      <c r="A22" s="75" t="s">
        <v>813</v>
      </c>
      <c r="B22" s="26" t="s">
        <v>821</v>
      </c>
      <c r="C22" s="26" t="s">
        <v>822</v>
      </c>
      <c r="D22" s="26" t="s">
        <v>623</v>
      </c>
      <c r="E22" s="26" t="s">
        <v>751</v>
      </c>
      <c r="F22" s="26" t="s">
        <v>823</v>
      </c>
      <c r="G22" s="26" t="s">
        <v>824</v>
      </c>
      <c r="H22" s="29" t="s">
        <v>160</v>
      </c>
      <c r="I22" s="53" t="s">
        <v>219</v>
      </c>
      <c r="J22" s="31" t="s">
        <v>23</v>
      </c>
      <c r="K22" s="33" t="s">
        <v>162</v>
      </c>
    </row>
    <row r="23" customFormat="false" ht="15" hidden="false" customHeight="true" outlineLevel="0" collapsed="false">
      <c r="A23" s="81" t="s">
        <v>813</v>
      </c>
      <c r="B23" s="11" t="s">
        <v>821</v>
      </c>
      <c r="C23" s="11" t="s">
        <v>825</v>
      </c>
      <c r="D23" s="11" t="s">
        <v>750</v>
      </c>
      <c r="E23" s="11" t="s">
        <v>751</v>
      </c>
      <c r="F23" s="11" t="s">
        <v>826</v>
      </c>
      <c r="G23" s="11" t="s">
        <v>827</v>
      </c>
      <c r="H23" s="36" t="s">
        <v>160</v>
      </c>
      <c r="I23" s="66" t="s">
        <v>363</v>
      </c>
      <c r="J23" s="12" t="s">
        <v>34</v>
      </c>
      <c r="K23" s="42" t="s">
        <v>162</v>
      </c>
    </row>
    <row r="24" customFormat="false" ht="15" hidden="false" customHeight="true" outlineLevel="0" collapsed="false">
      <c r="A24" s="82" t="s">
        <v>813</v>
      </c>
      <c r="B24" s="7" t="s">
        <v>828</v>
      </c>
      <c r="C24" s="7" t="s">
        <v>829</v>
      </c>
      <c r="D24" s="7" t="s">
        <v>623</v>
      </c>
      <c r="E24" s="7" t="s">
        <v>751</v>
      </c>
      <c r="F24" s="7" t="s">
        <v>830</v>
      </c>
      <c r="G24" s="7" t="s">
        <v>831</v>
      </c>
      <c r="H24" s="36" t="s">
        <v>160</v>
      </c>
      <c r="I24" s="37" t="s">
        <v>161</v>
      </c>
      <c r="J24" s="8" t="s">
        <v>23</v>
      </c>
      <c r="K24" s="38" t="s">
        <v>162</v>
      </c>
    </row>
    <row r="25" customFormat="false" ht="15" hidden="false" customHeight="true" outlineLevel="0" collapsed="false">
      <c r="A25" s="83" t="s">
        <v>832</v>
      </c>
      <c r="B25" s="26" t="s">
        <v>833</v>
      </c>
      <c r="C25" s="26" t="s">
        <v>834</v>
      </c>
      <c r="D25" s="26" t="s">
        <v>750</v>
      </c>
      <c r="E25" s="26" t="s">
        <v>751</v>
      </c>
      <c r="F25" s="26" t="s">
        <v>819</v>
      </c>
      <c r="G25" s="26" t="s">
        <v>835</v>
      </c>
      <c r="H25" s="29" t="s">
        <v>160</v>
      </c>
      <c r="I25" s="61" t="s">
        <v>275</v>
      </c>
      <c r="J25" s="31" t="s">
        <v>45</v>
      </c>
      <c r="K25" s="33" t="s">
        <v>162</v>
      </c>
    </row>
    <row r="26" customFormat="false" ht="15" hidden="false" customHeight="true" outlineLevel="0" collapsed="false">
      <c r="A26" s="83" t="s">
        <v>832</v>
      </c>
      <c r="B26" s="26" t="s">
        <v>833</v>
      </c>
      <c r="C26" s="26" t="s">
        <v>836</v>
      </c>
      <c r="D26" s="26" t="s">
        <v>750</v>
      </c>
      <c r="E26" s="26" t="s">
        <v>751</v>
      </c>
      <c r="F26" s="26" t="s">
        <v>837</v>
      </c>
      <c r="G26" s="26" t="s">
        <v>838</v>
      </c>
      <c r="H26" s="29" t="s">
        <v>160</v>
      </c>
      <c r="I26" s="61" t="s">
        <v>275</v>
      </c>
      <c r="J26" s="31" t="s">
        <v>45</v>
      </c>
      <c r="K26" s="33" t="s">
        <v>162</v>
      </c>
    </row>
    <row r="27" customFormat="false" ht="15" hidden="false" customHeight="true" outlineLevel="0" collapsed="false">
      <c r="A27" s="83" t="s">
        <v>832</v>
      </c>
      <c r="B27" s="26" t="s">
        <v>839</v>
      </c>
      <c r="C27" s="26" t="s">
        <v>840</v>
      </c>
      <c r="D27" s="26" t="s">
        <v>623</v>
      </c>
      <c r="E27" s="26" t="s">
        <v>755</v>
      </c>
      <c r="F27" s="26" t="s">
        <v>190</v>
      </c>
      <c r="G27" s="26" t="s">
        <v>841</v>
      </c>
      <c r="H27" s="29" t="s">
        <v>160</v>
      </c>
      <c r="I27" s="39" t="s">
        <v>182</v>
      </c>
      <c r="J27" s="31" t="s">
        <v>17</v>
      </c>
      <c r="K27" s="33" t="s">
        <v>162</v>
      </c>
    </row>
    <row r="28" customFormat="false" ht="15" hidden="false" customHeight="true" outlineLevel="0" collapsed="false">
      <c r="A28" s="83" t="s">
        <v>832</v>
      </c>
      <c r="B28" s="26" t="s">
        <v>839</v>
      </c>
      <c r="C28" s="26" t="s">
        <v>842</v>
      </c>
      <c r="D28" s="26" t="s">
        <v>750</v>
      </c>
      <c r="E28" s="26" t="s">
        <v>751</v>
      </c>
      <c r="F28" s="26" t="s">
        <v>843</v>
      </c>
      <c r="G28" s="26" t="s">
        <v>844</v>
      </c>
      <c r="H28" s="29" t="s">
        <v>160</v>
      </c>
      <c r="I28" s="39" t="s">
        <v>182</v>
      </c>
      <c r="J28" s="31" t="s">
        <v>17</v>
      </c>
      <c r="K28" s="33" t="s">
        <v>162</v>
      </c>
    </row>
    <row r="29" customFormat="false" ht="15" hidden="false" customHeight="true" outlineLevel="0" collapsed="false">
      <c r="A29" s="83" t="s">
        <v>832</v>
      </c>
      <c r="B29" s="26" t="s">
        <v>845</v>
      </c>
      <c r="C29" s="26" t="s">
        <v>846</v>
      </c>
      <c r="D29" s="26" t="s">
        <v>34</v>
      </c>
      <c r="E29" s="26" t="s">
        <v>751</v>
      </c>
      <c r="F29" s="26" t="s">
        <v>847</v>
      </c>
      <c r="G29" s="26" t="s">
        <v>848</v>
      </c>
      <c r="H29" s="29" t="s">
        <v>160</v>
      </c>
      <c r="I29" s="64" t="s">
        <v>319</v>
      </c>
      <c r="J29" s="31" t="s">
        <v>34</v>
      </c>
      <c r="K29" s="33" t="s">
        <v>162</v>
      </c>
    </row>
    <row r="30" customFormat="false" ht="15" hidden="false" customHeight="true" outlineLevel="0" collapsed="false">
      <c r="A30" s="84" t="s">
        <v>832</v>
      </c>
      <c r="B30" s="7" t="s">
        <v>845</v>
      </c>
      <c r="C30" s="7" t="s">
        <v>849</v>
      </c>
      <c r="D30" s="7" t="s">
        <v>750</v>
      </c>
      <c r="E30" s="7" t="s">
        <v>751</v>
      </c>
      <c r="F30" s="7" t="s">
        <v>850</v>
      </c>
      <c r="G30" s="7" t="s">
        <v>851</v>
      </c>
      <c r="H30" s="36" t="s">
        <v>160</v>
      </c>
      <c r="I30" s="59" t="s">
        <v>275</v>
      </c>
      <c r="J30" s="8" t="s">
        <v>45</v>
      </c>
      <c r="K30" s="38" t="s">
        <v>162</v>
      </c>
    </row>
    <row r="31" customFormat="false" ht="15" hidden="false" customHeight="true" outlineLevel="0" collapsed="false">
      <c r="A31" s="85" t="s">
        <v>852</v>
      </c>
      <c r="B31" s="11" t="s">
        <v>853</v>
      </c>
      <c r="C31" s="11" t="s">
        <v>854</v>
      </c>
      <c r="D31" s="11" t="s">
        <v>750</v>
      </c>
      <c r="E31" s="11" t="s">
        <v>751</v>
      </c>
      <c r="F31" s="11" t="s">
        <v>496</v>
      </c>
      <c r="G31" s="11" t="s">
        <v>855</v>
      </c>
      <c r="H31" s="36" t="s">
        <v>160</v>
      </c>
      <c r="I31" s="57" t="s">
        <v>210</v>
      </c>
      <c r="J31" s="12" t="s">
        <v>45</v>
      </c>
      <c r="K31" s="42" t="s">
        <v>162</v>
      </c>
    </row>
    <row r="32" customFormat="false" ht="15" hidden="false" customHeight="true" outlineLevel="0" collapsed="false">
      <c r="A32" s="86" t="s">
        <v>852</v>
      </c>
      <c r="B32" s="7" t="s">
        <v>853</v>
      </c>
      <c r="C32" s="7" t="s">
        <v>856</v>
      </c>
      <c r="D32" s="7" t="s">
        <v>750</v>
      </c>
      <c r="E32" s="7" t="s">
        <v>755</v>
      </c>
      <c r="F32" s="7" t="s">
        <v>190</v>
      </c>
      <c r="G32" s="7" t="s">
        <v>857</v>
      </c>
      <c r="H32" s="36" t="s">
        <v>160</v>
      </c>
      <c r="I32" s="37" t="s">
        <v>161</v>
      </c>
      <c r="J32" s="8" t="s">
        <v>23</v>
      </c>
      <c r="K32" s="38" t="s">
        <v>162</v>
      </c>
    </row>
    <row r="33" customFormat="false" ht="15" hidden="false" customHeight="true" outlineLevel="0" collapsed="false">
      <c r="A33" s="85" t="s">
        <v>852</v>
      </c>
      <c r="B33" s="11" t="s">
        <v>858</v>
      </c>
      <c r="C33" s="11" t="s">
        <v>859</v>
      </c>
      <c r="D33" s="11" t="s">
        <v>623</v>
      </c>
      <c r="E33" s="11" t="s">
        <v>751</v>
      </c>
      <c r="F33" s="11" t="s">
        <v>860</v>
      </c>
      <c r="G33" s="11" t="s">
        <v>861</v>
      </c>
      <c r="H33" s="36" t="s">
        <v>174</v>
      </c>
      <c r="I33" s="60" t="s">
        <v>275</v>
      </c>
      <c r="J33" s="12" t="s">
        <v>45</v>
      </c>
      <c r="K33" s="42" t="s">
        <v>300</v>
      </c>
    </row>
    <row r="34" customFormat="false" ht="15" hidden="false" customHeight="true" outlineLevel="0" collapsed="false">
      <c r="A34" s="86" t="s">
        <v>852</v>
      </c>
      <c r="B34" s="7" t="s">
        <v>858</v>
      </c>
      <c r="C34" s="7" t="s">
        <v>862</v>
      </c>
      <c r="D34" s="7" t="s">
        <v>34</v>
      </c>
      <c r="E34" s="7" t="s">
        <v>751</v>
      </c>
      <c r="F34" s="7" t="s">
        <v>863</v>
      </c>
      <c r="G34" s="7" t="s">
        <v>864</v>
      </c>
      <c r="H34" s="36" t="s">
        <v>160</v>
      </c>
      <c r="I34" s="67" t="s">
        <v>363</v>
      </c>
      <c r="J34" s="8" t="s">
        <v>34</v>
      </c>
      <c r="K34" s="38" t="s">
        <v>162</v>
      </c>
    </row>
    <row r="35" customFormat="false" ht="15" hidden="false" customHeight="true" outlineLevel="0" collapsed="false">
      <c r="A35" s="85" t="s">
        <v>852</v>
      </c>
      <c r="B35" s="11" t="s">
        <v>865</v>
      </c>
      <c r="C35" s="11" t="s">
        <v>866</v>
      </c>
      <c r="D35" s="11" t="s">
        <v>623</v>
      </c>
      <c r="E35" s="11" t="s">
        <v>775</v>
      </c>
      <c r="F35" s="11" t="s">
        <v>850</v>
      </c>
      <c r="G35" s="11" t="s">
        <v>867</v>
      </c>
      <c r="H35" s="36" t="s">
        <v>160</v>
      </c>
      <c r="I35" s="62" t="s">
        <v>161</v>
      </c>
      <c r="J35" s="12" t="s">
        <v>23</v>
      </c>
      <c r="K35" s="42" t="s">
        <v>162</v>
      </c>
    </row>
    <row r="36" customFormat="false" ht="15" hidden="false" customHeight="true" outlineLevel="0" collapsed="false">
      <c r="A36" s="86" t="s">
        <v>852</v>
      </c>
      <c r="B36" s="7" t="s">
        <v>865</v>
      </c>
      <c r="C36" s="7" t="s">
        <v>868</v>
      </c>
      <c r="D36" s="7" t="s">
        <v>11</v>
      </c>
      <c r="E36" s="7" t="s">
        <v>751</v>
      </c>
      <c r="F36" s="7" t="s">
        <v>190</v>
      </c>
      <c r="G36" s="7" t="s">
        <v>869</v>
      </c>
      <c r="H36" s="36" t="s">
        <v>160</v>
      </c>
      <c r="I36" s="70" t="s">
        <v>600</v>
      </c>
      <c r="J36" s="8" t="s">
        <v>55</v>
      </c>
      <c r="K36" s="38" t="s">
        <v>162</v>
      </c>
    </row>
  </sheetData>
  <autoFilter ref="A1:K36"/>
  <dataValidations count="3">
    <dataValidation allowBlank="true" error="Use ☐ or ☑" errorStyle="stop" errorTitle="Invalid" operator="between" showDropDown="false" showErrorMessage="false" showInputMessage="false" sqref="H2:H36" type="list">
      <formula1>"☐,☑"</formula1>
      <formula2>0</formula2>
    </dataValidation>
    <dataValidation allowBlank="true" errorStyle="stop" operator="between" showDropDown="false" showErrorMessage="false" showInputMessage="false" sqref="I2:I36" type="list">
      <formula1>"AR,PK,VS,NK,DM,SP,RG,AM,KS,PAIR,ALL"</formula1>
      <formula2>0</formula2>
    </dataValidation>
    <dataValidation allowBlank="true" errorStyle="stop" operator="between" showDropDown="false" showErrorMessage="false" showInputMessage="false" sqref="K2:K36" type="list">
      <formula1>"NOT STARTED,IN PROGRESS,IN REVIEW,BLOCKED,DONE"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B923C"/>
    <pageSetUpPr fitToPage="false"/>
  </sheetPr>
  <dimension ref="A1:I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0"/>
    <col collapsed="false" customWidth="true" hidden="false" outlineLevel="0" max="6" min="2" style="1" width="15"/>
  </cols>
  <sheetData>
    <row r="1" customFormat="false" ht="17.25" hidden="false" customHeight="true" outlineLevel="0" collapsed="false">
      <c r="A1" s="24" t="s">
        <v>870</v>
      </c>
    </row>
    <row r="3" customFormat="false" ht="15" hidden="false" customHeight="true" outlineLevel="0" collapsed="false">
      <c r="A3" s="4" t="s">
        <v>871</v>
      </c>
      <c r="B3" s="4"/>
      <c r="C3" s="4"/>
      <c r="D3" s="4"/>
      <c r="E3" s="4"/>
    </row>
    <row r="4" customFormat="false" ht="15" hidden="false" customHeight="true" outlineLevel="0" collapsed="false">
      <c r="A4" s="11" t="s">
        <v>89</v>
      </c>
      <c r="B4" s="11"/>
      <c r="C4" s="11"/>
      <c r="D4" s="11"/>
      <c r="E4" s="11"/>
    </row>
    <row r="5" customFormat="false" ht="15" hidden="false" customHeight="true" outlineLevel="0" collapsed="false">
      <c r="A5" s="87" t="s">
        <v>872</v>
      </c>
      <c r="B5" s="87" t="s">
        <v>873</v>
      </c>
      <c r="C5" s="87" t="s">
        <v>874</v>
      </c>
      <c r="D5" s="87" t="s">
        <v>875</v>
      </c>
      <c r="E5" s="87" t="s">
        <v>876</v>
      </c>
      <c r="F5" s="88" t="s">
        <v>877</v>
      </c>
      <c r="G5" s="88" t="s">
        <v>878</v>
      </c>
      <c r="H5" s="88" t="s">
        <v>879</v>
      </c>
      <c r="I5" s="89" t="s">
        <v>880</v>
      </c>
    </row>
    <row r="6" customFormat="false" ht="15" hidden="false" customHeight="true" outlineLevel="0" collapsed="false">
      <c r="A6" s="11" t="s">
        <v>881</v>
      </c>
      <c r="B6" s="11" t="n">
        <v>184</v>
      </c>
      <c r="C6" s="11" t="n">
        <v>258</v>
      </c>
      <c r="D6" s="11" t="n">
        <v>325</v>
      </c>
      <c r="E6" s="11" t="n">
        <v>418</v>
      </c>
      <c r="F6" s="1" t="n">
        <v>429</v>
      </c>
      <c r="G6" s="1" t="n">
        <v>461</v>
      </c>
      <c r="H6" s="1" t="n">
        <v>512</v>
      </c>
      <c r="I6" s="1" t="n">
        <v>555</v>
      </c>
    </row>
    <row r="7" customFormat="false" ht="15" hidden="false" customHeight="true" outlineLevel="0" collapsed="false">
      <c r="A7" s="7" t="s">
        <v>882</v>
      </c>
      <c r="B7" s="7" t="n">
        <v>22541</v>
      </c>
      <c r="C7" s="7" t="n">
        <v>40672</v>
      </c>
      <c r="D7" s="7" t="n">
        <v>58339</v>
      </c>
      <c r="E7" s="7" t="n">
        <v>83232</v>
      </c>
      <c r="F7" s="1" t="n">
        <v>113346</v>
      </c>
      <c r="G7" s="1" t="n">
        <v>130966</v>
      </c>
      <c r="H7" s="1" t="n">
        <v>153011</v>
      </c>
      <c r="I7" s="1" t="n">
        <v>168753</v>
      </c>
    </row>
    <row r="8" customFormat="false" ht="15" hidden="false" customHeight="true" outlineLevel="0" collapsed="false">
      <c r="A8" s="10" t="s">
        <v>883</v>
      </c>
      <c r="B8" s="10" t="n">
        <v>10</v>
      </c>
      <c r="C8" s="10" t="n">
        <v>14</v>
      </c>
      <c r="D8" s="10" t="n">
        <v>18</v>
      </c>
      <c r="E8" s="10" t="n">
        <v>24</v>
      </c>
      <c r="F8" s="1" t="n">
        <v>37</v>
      </c>
      <c r="G8" s="1" t="n">
        <v>47</v>
      </c>
      <c r="H8" s="1" t="n">
        <v>50</v>
      </c>
      <c r="I8" s="1" t="n">
        <v>50</v>
      </c>
    </row>
    <row r="9" customFormat="false" ht="15" hidden="false" customHeight="true" outlineLevel="0" collapsed="false">
      <c r="A9" s="1" t="s">
        <v>101</v>
      </c>
      <c r="B9" s="1" t="n">
        <v>8</v>
      </c>
      <c r="C9" s="1" t="n">
        <v>12</v>
      </c>
      <c r="D9" s="1" t="n">
        <v>18</v>
      </c>
      <c r="E9" s="1" t="n">
        <v>25</v>
      </c>
      <c r="F9" s="1" t="n">
        <v>27</v>
      </c>
      <c r="G9" s="1" t="n">
        <v>39</v>
      </c>
      <c r="H9" s="1" t="n">
        <v>42</v>
      </c>
      <c r="I9" s="1" t="n">
        <v>44</v>
      </c>
    </row>
    <row r="10" customFormat="false" ht="17.25" hidden="false" customHeight="true" outlineLevel="0" collapsed="false">
      <c r="A10" s="24" t="s">
        <v>884</v>
      </c>
      <c r="B10" s="1" t="n">
        <v>18</v>
      </c>
      <c r="C10" s="1" t="n">
        <v>22</v>
      </c>
      <c r="D10" s="1" t="n">
        <v>26</v>
      </c>
      <c r="E10" s="1" t="n">
        <v>30</v>
      </c>
      <c r="F10" s="1" t="n">
        <v>32</v>
      </c>
      <c r="G10" s="1" t="n">
        <v>34</v>
      </c>
      <c r="H10" s="1" t="n">
        <v>26</v>
      </c>
      <c r="I10" s="1" t="n">
        <v>25</v>
      </c>
    </row>
    <row r="11" customFormat="false" ht="15" hidden="false" customHeight="true" outlineLevel="0" collapsed="false">
      <c r="A11" s="1" t="s">
        <v>885</v>
      </c>
      <c r="B11" s="1" t="n">
        <v>4</v>
      </c>
      <c r="C11" s="1" t="n">
        <v>6</v>
      </c>
      <c r="D11" s="1" t="n">
        <v>8</v>
      </c>
      <c r="E11" s="1" t="n">
        <v>12</v>
      </c>
      <c r="F11" s="1" t="n">
        <v>18</v>
      </c>
      <c r="G11" s="1" t="n">
        <v>32</v>
      </c>
      <c r="H11" s="1" t="n">
        <v>38</v>
      </c>
      <c r="I11" s="1" t="n">
        <v>43</v>
      </c>
    </row>
    <row r="12" customFormat="false" ht="15" hidden="false" customHeight="true" outlineLevel="0" collapsed="false">
      <c r="A12" s="4" t="s">
        <v>886</v>
      </c>
      <c r="B12" s="4" t="n">
        <v>0</v>
      </c>
      <c r="C12" s="4" t="n">
        <v>0</v>
      </c>
      <c r="D12" s="4" t="n">
        <v>0</v>
      </c>
      <c r="E12" s="4" t="n">
        <v>0</v>
      </c>
      <c r="F12" s="4" t="n">
        <v>22</v>
      </c>
      <c r="G12" s="1" t="n">
        <v>29</v>
      </c>
      <c r="H12" s="1" t="n">
        <v>37</v>
      </c>
      <c r="I12" s="1" t="n">
        <v>44</v>
      </c>
    </row>
    <row r="13" customFormat="false" ht="15" hidden="false" customHeight="true" outlineLevel="0" collapsed="false">
      <c r="A13" s="11"/>
      <c r="B13" s="11"/>
      <c r="C13" s="11"/>
      <c r="D13" s="11"/>
      <c r="E13" s="11"/>
      <c r="F13" s="11"/>
    </row>
    <row r="14" customFormat="false" ht="15" hidden="false" customHeight="true" outlineLevel="0" collapsed="false">
      <c r="A14" s="90" t="s">
        <v>887</v>
      </c>
      <c r="B14" s="87"/>
      <c r="C14" s="87"/>
      <c r="D14" s="87"/>
      <c r="E14" s="87"/>
      <c r="F14" s="87"/>
    </row>
    <row r="15" customFormat="false" ht="15" hidden="false" customHeight="true" outlineLevel="0" collapsed="false">
      <c r="A15" s="11"/>
      <c r="B15" s="11"/>
      <c r="C15" s="11"/>
      <c r="D15" s="11"/>
      <c r="E15" s="11"/>
      <c r="F15" s="11"/>
    </row>
    <row r="16" customFormat="false" ht="15" hidden="false" customHeight="true" outlineLevel="0" collapsed="false">
      <c r="A16" s="87" t="s">
        <v>888</v>
      </c>
      <c r="B16" s="87" t="s">
        <v>746</v>
      </c>
      <c r="C16" s="87" t="s">
        <v>889</v>
      </c>
      <c r="D16" s="87" t="s">
        <v>890</v>
      </c>
      <c r="E16" s="87" t="s">
        <v>146</v>
      </c>
      <c r="F16" s="87"/>
    </row>
    <row r="17" customFormat="false" ht="15" hidden="false" customHeight="true" outlineLevel="0" collapsed="false">
      <c r="A17" s="10" t="s">
        <v>182</v>
      </c>
      <c r="B17" s="10" t="s">
        <v>891</v>
      </c>
      <c r="C17" s="10" t="n">
        <v>7</v>
      </c>
      <c r="D17" s="10" t="n">
        <v>1610</v>
      </c>
      <c r="E17" s="91" t="s">
        <v>162</v>
      </c>
      <c r="F17" s="10"/>
    </row>
    <row r="18" customFormat="false" ht="15" hidden="false" customHeight="true" outlineLevel="0" collapsed="false">
      <c r="A18" s="1" t="s">
        <v>363</v>
      </c>
      <c r="B18" s="1" t="s">
        <v>892</v>
      </c>
      <c r="C18" s="1" t="n">
        <v>3</v>
      </c>
      <c r="D18" s="1" t="n">
        <v>1572</v>
      </c>
      <c r="E18" s="92" t="s">
        <v>162</v>
      </c>
    </row>
    <row r="19" customFormat="false" ht="17.25" hidden="false" customHeight="true" outlineLevel="0" collapsed="false">
      <c r="A19" s="24" t="s">
        <v>319</v>
      </c>
      <c r="B19" s="1" t="s">
        <v>893</v>
      </c>
      <c r="C19" s="1" t="n">
        <v>5</v>
      </c>
      <c r="D19" s="1" t="n">
        <v>1817</v>
      </c>
      <c r="E19" s="92" t="s">
        <v>162</v>
      </c>
    </row>
    <row r="20" customFormat="false" ht="26.25" hidden="false" customHeight="true" outlineLevel="0" collapsed="false">
      <c r="A20" s="4" t="s">
        <v>275</v>
      </c>
      <c r="B20" s="4" t="s">
        <v>894</v>
      </c>
      <c r="C20" s="4" t="n">
        <v>10</v>
      </c>
      <c r="D20" s="4" t="n">
        <v>3813</v>
      </c>
      <c r="E20" s="93" t="s">
        <v>162</v>
      </c>
      <c r="F20" s="4"/>
    </row>
    <row r="21" customFormat="false" ht="15" hidden="false" customHeight="true" outlineLevel="0" collapsed="false">
      <c r="A21" s="94" t="s">
        <v>210</v>
      </c>
      <c r="B21" s="8" t="s">
        <v>895</v>
      </c>
      <c r="C21" s="8" t="n">
        <v>6</v>
      </c>
      <c r="D21" s="95" t="n">
        <v>2689</v>
      </c>
      <c r="E21" s="50" t="s">
        <v>162</v>
      </c>
      <c r="F21" s="94"/>
    </row>
    <row r="22" customFormat="false" ht="15" hidden="false" customHeight="true" outlineLevel="0" collapsed="false">
      <c r="A22" s="62" t="s">
        <v>219</v>
      </c>
      <c r="B22" s="12" t="s">
        <v>896</v>
      </c>
      <c r="C22" s="12" t="n">
        <v>6</v>
      </c>
      <c r="D22" s="96" t="n">
        <v>3068</v>
      </c>
      <c r="E22" s="50" t="s">
        <v>162</v>
      </c>
      <c r="F22" s="41"/>
    </row>
    <row r="23" customFormat="false" ht="15" hidden="false" customHeight="true" outlineLevel="0" collapsed="false">
      <c r="A23" s="49" t="s">
        <v>161</v>
      </c>
      <c r="B23" s="8" t="s">
        <v>897</v>
      </c>
      <c r="C23" s="8" t="n">
        <v>6</v>
      </c>
      <c r="D23" s="95" t="n">
        <v>2275</v>
      </c>
      <c r="E23" s="50" t="s">
        <v>162</v>
      </c>
      <c r="F23" s="94"/>
    </row>
    <row r="24" customFormat="false" ht="15" hidden="false" customHeight="true" outlineLevel="0" collapsed="false">
      <c r="A24" s="63" t="s">
        <v>898</v>
      </c>
      <c r="B24" s="12" t="s">
        <v>899</v>
      </c>
      <c r="C24" s="12" t="n">
        <v>8</v>
      </c>
      <c r="D24" s="96" t="n">
        <v>5184</v>
      </c>
      <c r="E24" s="50" t="s">
        <v>162</v>
      </c>
      <c r="F24" s="41"/>
    </row>
    <row r="25" customFormat="false" ht="15" hidden="false" customHeight="true" outlineLevel="0" collapsed="false">
      <c r="A25" s="67" t="s">
        <v>600</v>
      </c>
      <c r="B25" s="8" t="s">
        <v>900</v>
      </c>
      <c r="C25" s="8" t="n">
        <v>5</v>
      </c>
      <c r="D25" s="95" t="n">
        <v>1914</v>
      </c>
      <c r="E25" s="50" t="s">
        <v>162</v>
      </c>
      <c r="F25" s="94"/>
    </row>
    <row r="26" customFormat="false" ht="15" hidden="false" customHeight="true" outlineLevel="0" collapsed="false">
      <c r="A26" s="57"/>
      <c r="B26" s="12"/>
      <c r="C26" s="12"/>
      <c r="D26" s="96"/>
      <c r="E26" s="97"/>
      <c r="F26" s="41"/>
    </row>
    <row r="27" customFormat="false" ht="15" hidden="false" customHeight="true" outlineLevel="0" collapsed="false">
      <c r="A27" s="98" t="s">
        <v>901</v>
      </c>
      <c r="B27" s="8"/>
      <c r="C27" s="8"/>
      <c r="D27" s="95"/>
      <c r="E27" s="99"/>
      <c r="F27" s="94"/>
    </row>
    <row r="28" customFormat="false" ht="15" hidden="false" customHeight="true" outlineLevel="0" collapsed="false">
      <c r="A28" s="100"/>
      <c r="B28" s="101"/>
      <c r="C28" s="101"/>
      <c r="D28" s="101"/>
      <c r="E28" s="101"/>
      <c r="F28" s="101"/>
    </row>
    <row r="29" customFormat="false" ht="15" hidden="false" customHeight="true" outlineLevel="0" collapsed="false">
      <c r="A29" s="102"/>
      <c r="B29" s="102"/>
      <c r="C29" s="102"/>
      <c r="D29" s="102"/>
      <c r="E29" s="102"/>
      <c r="F29" s="94"/>
    </row>
    <row r="30" customFormat="false" ht="15" hidden="false" customHeight="true" outlineLevel="0" collapsed="false">
      <c r="A30" s="88"/>
      <c r="B30" s="88"/>
      <c r="C30" s="88"/>
      <c r="D30" s="88"/>
      <c r="E30" s="88"/>
      <c r="F30" s="103"/>
    </row>
    <row r="31" customFormat="false" ht="15" hidden="false" customHeight="true" outlineLevel="0" collapsed="false">
      <c r="F31" s="104"/>
    </row>
    <row r="32" customFormat="false" ht="15" hidden="false" customHeight="true" outlineLevel="0" collapsed="false">
      <c r="F32" s="104"/>
    </row>
    <row r="33" customFormat="false" ht="15" hidden="false" customHeight="true" outlineLevel="0" collapsed="false">
      <c r="F33" s="104"/>
    </row>
    <row r="34" customFormat="false" ht="15" hidden="false" customHeight="true" outlineLevel="0" collapsed="false">
      <c r="F34" s="104"/>
    </row>
    <row r="36" customFormat="false" ht="15" hidden="false" customHeight="true" outlineLevel="0" collapsed="false">
      <c r="A36" s="1" t="s">
        <v>161</v>
      </c>
      <c r="B36" s="1" t="s">
        <v>902</v>
      </c>
      <c r="C36" s="1" t="n">
        <v>4</v>
      </c>
      <c r="D36" s="1" t="n">
        <v>2469</v>
      </c>
      <c r="E36" s="1" t="s">
        <v>162</v>
      </c>
    </row>
    <row r="37" customFormat="false" ht="15" hidden="false" customHeight="true" outlineLevel="0" collapsed="false">
      <c r="A37" s="1" t="s">
        <v>898</v>
      </c>
      <c r="B37" s="1" t="s">
        <v>903</v>
      </c>
      <c r="C37" s="1" t="n">
        <v>7</v>
      </c>
      <c r="D37" s="1" t="n">
        <v>4725</v>
      </c>
      <c r="E37" s="1" t="s">
        <v>162</v>
      </c>
    </row>
    <row r="38" customFormat="false" ht="15" hidden="false" customHeight="true" outlineLevel="0" collapsed="false">
      <c r="A38" s="1" t="s">
        <v>600</v>
      </c>
      <c r="B38" s="1" t="s">
        <v>904</v>
      </c>
      <c r="C38" s="1" t="n">
        <v>5</v>
      </c>
      <c r="D38" s="1" t="n">
        <v>1628</v>
      </c>
      <c r="E38" s="1" t="s">
        <v>162</v>
      </c>
    </row>
    <row r="41" customFormat="false" ht="15" hidden="false" customHeight="true" outlineLevel="0" collapsed="false">
      <c r="A41" s="88" t="s">
        <v>905</v>
      </c>
    </row>
    <row r="42" customFormat="false" ht="15" hidden="false" customHeight="true" outlineLevel="0" collapsed="false">
      <c r="A42" s="105" t="s">
        <v>743</v>
      </c>
      <c r="B42" s="105" t="s">
        <v>13</v>
      </c>
      <c r="C42" s="105" t="s">
        <v>150</v>
      </c>
      <c r="D42" s="105" t="s">
        <v>906</v>
      </c>
      <c r="E42" s="105" t="s">
        <v>907</v>
      </c>
      <c r="F42" s="105" t="s">
        <v>908</v>
      </c>
    </row>
    <row r="43" customFormat="false" ht="15" hidden="false" customHeight="true" outlineLevel="0" collapsed="false">
      <c r="A43" s="1" t="s">
        <v>909</v>
      </c>
      <c r="B43" s="1" t="n">
        <v>39</v>
      </c>
      <c r="C43" s="1" t="n">
        <v>26</v>
      </c>
      <c r="D43" s="1" t="n">
        <v>3</v>
      </c>
      <c r="E43" s="1" t="n">
        <f aca="false">B43-C43-D43</f>
        <v>10</v>
      </c>
      <c r="F43" s="104" t="n">
        <f aca="false">C43/B43</f>
        <v>0.666666666666667</v>
      </c>
    </row>
    <row r="44" customFormat="false" ht="15" hidden="false" customHeight="true" outlineLevel="0" collapsed="false">
      <c r="A44" s="1" t="s">
        <v>910</v>
      </c>
      <c r="B44" s="1" t="n">
        <v>34</v>
      </c>
      <c r="C44" s="1" t="n">
        <v>28</v>
      </c>
      <c r="D44" s="1" t="n">
        <v>0</v>
      </c>
      <c r="E44" s="1" t="n">
        <f aca="false">B44-C44-D44</f>
        <v>6</v>
      </c>
      <c r="F44" s="104" t="n">
        <f aca="false">C44/B44</f>
        <v>0.823529411764706</v>
      </c>
    </row>
    <row r="45" customFormat="false" ht="15" hidden="false" customHeight="true" outlineLevel="0" collapsed="false">
      <c r="A45" s="1" t="s">
        <v>911</v>
      </c>
      <c r="B45" s="1" t="n">
        <v>34</v>
      </c>
      <c r="C45" s="1" t="n">
        <v>34</v>
      </c>
      <c r="D45" s="1" t="n">
        <v>0</v>
      </c>
      <c r="E45" s="1" t="n">
        <f aca="false">B45-C45-D45</f>
        <v>0</v>
      </c>
      <c r="F45" s="104" t="n">
        <f aca="false">C45/B45</f>
        <v>1</v>
      </c>
    </row>
    <row r="46" customFormat="false" ht="15" hidden="false" customHeight="true" outlineLevel="0" collapsed="false">
      <c r="A46" s="1" t="s">
        <v>912</v>
      </c>
      <c r="B46" s="1" t="n">
        <v>21</v>
      </c>
      <c r="C46" s="1" t="n">
        <v>15</v>
      </c>
      <c r="D46" s="1" t="n">
        <v>0</v>
      </c>
      <c r="E46" s="1" t="n">
        <f aca="false">B46-C46-D46</f>
        <v>6</v>
      </c>
      <c r="F46" s="104" t="n">
        <f aca="false">C46/B46</f>
        <v>0.714285714285714</v>
      </c>
    </row>
    <row r="47" customFormat="false" ht="15" hidden="false" customHeight="true" outlineLevel="0" collapsed="false">
      <c r="A47" s="1" t="s">
        <v>913</v>
      </c>
      <c r="B47" s="1" t="n">
        <v>35</v>
      </c>
      <c r="C47" s="1" t="n">
        <v>25</v>
      </c>
      <c r="D47" s="1" t="n">
        <v>2</v>
      </c>
      <c r="E47" s="1" t="n">
        <f aca="false">B47-C47-D47</f>
        <v>8</v>
      </c>
      <c r="F47" s="104" t="n">
        <f aca="false">C47/B47</f>
        <v>0.714285714285714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2026-03-06T14:15:01Z</dcterms:created>
  <dc:creator>openpyxl</dc:creator>
  <dc:description/>
  <dc:language>en-US</dc:language>
  <cp:lastModifiedBy/>
  <dcterms:modified xsi:type="dcterms:W3CDTF">2026-03-07T08:09:32Z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